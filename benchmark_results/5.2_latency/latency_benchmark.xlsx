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taur Rahman\Downloads\Dev Projects\U-PAL-PY-(final)\benchmark_results\"/>
    </mc:Choice>
  </mc:AlternateContent>
  <xr:revisionPtr revIDLastSave="0" documentId="13_ncr:1_{88E77818-FC0C-41EE-AFF2-77DF62BA479C}" xr6:coauthVersionLast="47" xr6:coauthVersionMax="47" xr10:uidLastSave="{00000000-0000-0000-0000-000000000000}"/>
  <bookViews>
    <workbookView minimized="1" xWindow="5820" yWindow="2175" windowWidth="21600" windowHeight="11295" activeTab="2" xr2:uid="{00000000-000D-0000-FFFF-FFFF00000000}"/>
  </bookViews>
  <sheets>
    <sheet name="Per-Request Data" sheetId="1" r:id="rId1"/>
    <sheet name="Summary" sheetId="2" r:id="rId2"/>
    <sheet name="Chart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3" l="1"/>
  <c r="AG11" i="3"/>
  <c r="AG9" i="3"/>
  <c r="AG8" i="3"/>
  <c r="AG6" i="3"/>
  <c r="AG5" i="3"/>
  <c r="AG3" i="3"/>
  <c r="AG2" i="3"/>
  <c r="AD24" i="3"/>
  <c r="AD23" i="3"/>
  <c r="AD22" i="3"/>
  <c r="AD21" i="3"/>
  <c r="AD20" i="3"/>
  <c r="AD18" i="3"/>
  <c r="AD17" i="3"/>
  <c r="AD16" i="3"/>
  <c r="AD15" i="3"/>
  <c r="AD14" i="3"/>
  <c r="AD12" i="3"/>
  <c r="AD11" i="3"/>
  <c r="AD10" i="3"/>
  <c r="AD9" i="3"/>
  <c r="AD8" i="3"/>
  <c r="AD6" i="3"/>
  <c r="AD5" i="3"/>
  <c r="AD4" i="3"/>
  <c r="AD3" i="3"/>
  <c r="AD2" i="3"/>
  <c r="R7" i="1"/>
  <c r="Q7" i="1"/>
  <c r="P7" i="1"/>
  <c r="O7" i="1"/>
  <c r="N7" i="1"/>
  <c r="S7" i="1" s="1"/>
  <c r="M7" i="1"/>
  <c r="R6" i="1"/>
  <c r="Q6" i="1"/>
  <c r="P6" i="1"/>
  <c r="O6" i="1"/>
  <c r="N6" i="1"/>
  <c r="S6" i="1" s="1"/>
  <c r="M6" i="1"/>
  <c r="R5" i="1"/>
  <c r="Q5" i="1"/>
  <c r="P5" i="1"/>
  <c r="O5" i="1"/>
  <c r="N5" i="1"/>
  <c r="S5" i="1" s="1"/>
  <c r="M5" i="1"/>
  <c r="R4" i="1"/>
  <c r="Q4" i="1"/>
  <c r="P4" i="1"/>
  <c r="O4" i="1"/>
  <c r="N4" i="1"/>
  <c r="S4" i="1" s="1"/>
  <c r="M4" i="1"/>
  <c r="R3" i="1"/>
  <c r="Q3" i="1"/>
  <c r="P3" i="1"/>
  <c r="O3" i="1"/>
  <c r="N3" i="1"/>
  <c r="S3" i="1" s="1"/>
  <c r="M3" i="1"/>
  <c r="R2" i="1"/>
  <c r="Q2" i="1"/>
  <c r="P2" i="1"/>
  <c r="O2" i="1"/>
  <c r="N2" i="1"/>
  <c r="S2" i="1" s="1"/>
  <c r="M2" i="1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T2" i="3"/>
  <c r="R2" i="3"/>
  <c r="P2" i="3"/>
  <c r="N2" i="3"/>
  <c r="AA25" i="3"/>
  <c r="Z25" i="3"/>
  <c r="AA24" i="3"/>
  <c r="AA23" i="3"/>
  <c r="AA22" i="3"/>
  <c r="Z22" i="3"/>
  <c r="AA21" i="3"/>
  <c r="AA20" i="3"/>
  <c r="AA19" i="3"/>
  <c r="Z19" i="3"/>
  <c r="AA18" i="3"/>
  <c r="AA17" i="3"/>
  <c r="AA16" i="3"/>
  <c r="Z16" i="3"/>
  <c r="AA15" i="3"/>
  <c r="AA14" i="3"/>
  <c r="AA13" i="3"/>
  <c r="Z13" i="3"/>
  <c r="AA12" i="3"/>
  <c r="AA11" i="3"/>
  <c r="AA10" i="3"/>
  <c r="Z10" i="3"/>
  <c r="AA9" i="3"/>
  <c r="AA8" i="3"/>
  <c r="AA7" i="3"/>
  <c r="Z7" i="3"/>
  <c r="AA6" i="3"/>
  <c r="AA5" i="3"/>
  <c r="AA4" i="3"/>
  <c r="Z4" i="3"/>
  <c r="AA3" i="3"/>
  <c r="AA2" i="3"/>
  <c r="X23" i="3"/>
  <c r="X22" i="3"/>
  <c r="X21" i="3"/>
  <c r="X20" i="3"/>
  <c r="T23" i="3"/>
  <c r="T22" i="3"/>
  <c r="T21" i="3"/>
  <c r="T20" i="3"/>
  <c r="S23" i="3"/>
  <c r="S22" i="3"/>
  <c r="S21" i="3"/>
  <c r="S20" i="3"/>
  <c r="R23" i="3"/>
  <c r="R22" i="3"/>
  <c r="R21" i="3"/>
  <c r="R20" i="3"/>
  <c r="P23" i="3"/>
  <c r="P22" i="3"/>
  <c r="P21" i="3"/>
  <c r="P20" i="3"/>
  <c r="O23" i="3"/>
  <c r="O22" i="3"/>
  <c r="O21" i="3"/>
  <c r="O20" i="3"/>
  <c r="N23" i="3"/>
  <c r="N22" i="3"/>
  <c r="N21" i="3"/>
  <c r="N20" i="3"/>
  <c r="U16" i="3"/>
  <c r="S16" i="3"/>
  <c r="Q16" i="3"/>
  <c r="O16" i="3"/>
  <c r="U15" i="3"/>
  <c r="S15" i="3"/>
  <c r="Q15" i="3"/>
  <c r="O15" i="3"/>
  <c r="U14" i="3"/>
  <c r="S14" i="3"/>
  <c r="Q14" i="3"/>
  <c r="O14" i="3"/>
  <c r="U13" i="3"/>
  <c r="S13" i="3"/>
  <c r="Q13" i="3"/>
  <c r="O13" i="3"/>
  <c r="U12" i="3"/>
  <c r="S12" i="3"/>
  <c r="Q12" i="3"/>
  <c r="O12" i="3"/>
  <c r="U11" i="3"/>
  <c r="S11" i="3"/>
  <c r="Q11" i="3"/>
  <c r="O11" i="3"/>
  <c r="U10" i="3"/>
  <c r="S10" i="3"/>
  <c r="Q10" i="3"/>
  <c r="O10" i="3"/>
  <c r="U9" i="3"/>
  <c r="S9" i="3"/>
  <c r="Q9" i="3"/>
  <c r="O9" i="3"/>
  <c r="U8" i="3"/>
  <c r="S8" i="3"/>
  <c r="Q8" i="3"/>
  <c r="O8" i="3"/>
  <c r="U7" i="3"/>
  <c r="S7" i="3"/>
  <c r="Q7" i="3"/>
  <c r="O7" i="3"/>
  <c r="U6" i="3"/>
  <c r="S6" i="3"/>
  <c r="Q6" i="3"/>
  <c r="O6" i="3"/>
  <c r="U5" i="3"/>
  <c r="S5" i="3"/>
  <c r="Q5" i="3"/>
  <c r="O5" i="3"/>
  <c r="U4" i="3"/>
  <c r="S4" i="3"/>
  <c r="Q4" i="3"/>
  <c r="O4" i="3"/>
  <c r="U3" i="3"/>
  <c r="S3" i="3"/>
  <c r="Q3" i="3"/>
  <c r="O3" i="3"/>
  <c r="U2" i="3"/>
  <c r="S2" i="3"/>
  <c r="Q2" i="3"/>
  <c r="O2" i="3"/>
  <c r="K43" i="3"/>
  <c r="K42" i="3"/>
  <c r="K41" i="3"/>
  <c r="K40" i="3"/>
  <c r="J43" i="3"/>
  <c r="J42" i="3"/>
  <c r="J41" i="3"/>
  <c r="J40" i="3"/>
  <c r="I43" i="3"/>
  <c r="I42" i="3"/>
  <c r="I41" i="3"/>
  <c r="I40" i="3"/>
  <c r="H43" i="3"/>
  <c r="H42" i="3"/>
  <c r="H41" i="3"/>
  <c r="H40" i="3"/>
  <c r="G43" i="3"/>
  <c r="G42" i="3"/>
  <c r="G41" i="3"/>
  <c r="G40" i="3"/>
  <c r="F43" i="3"/>
  <c r="F42" i="3"/>
  <c r="F41" i="3"/>
  <c r="F40" i="3"/>
  <c r="E43" i="3"/>
  <c r="E42" i="3"/>
  <c r="E41" i="3"/>
  <c r="E40" i="3"/>
  <c r="D43" i="3"/>
  <c r="D42" i="3"/>
  <c r="D41" i="3"/>
  <c r="D40" i="3"/>
  <c r="C43" i="3"/>
  <c r="C42" i="3"/>
  <c r="C41" i="3"/>
  <c r="C40" i="3"/>
  <c r="B43" i="3"/>
  <c r="B42" i="3"/>
  <c r="B41" i="3"/>
  <c r="B40" i="3"/>
  <c r="A43" i="3"/>
  <c r="A42" i="3"/>
  <c r="A41" i="3"/>
  <c r="A40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E16" i="2"/>
  <c r="A16" i="2"/>
  <c r="E15" i="2"/>
  <c r="A15" i="2"/>
  <c r="E14" i="2"/>
  <c r="A14" i="2"/>
  <c r="E13" i="2"/>
  <c r="A13" i="2"/>
  <c r="H7" i="2"/>
  <c r="G7" i="2"/>
  <c r="F7" i="2"/>
  <c r="E7" i="2"/>
  <c r="D7" i="2"/>
  <c r="I7" i="2" s="1"/>
  <c r="C7" i="2"/>
  <c r="H6" i="2"/>
  <c r="G6" i="2"/>
  <c r="F6" i="2"/>
  <c r="E6" i="2"/>
  <c r="D6" i="2"/>
  <c r="I6" i="2" s="1"/>
  <c r="C6" i="2"/>
  <c r="H5" i="2"/>
  <c r="G5" i="2"/>
  <c r="F5" i="2"/>
  <c r="D16" i="2" s="1"/>
  <c r="E5" i="2"/>
  <c r="C16" i="2" s="1"/>
  <c r="D5" i="2"/>
  <c r="C5" i="2"/>
  <c r="H4" i="2"/>
  <c r="G4" i="2"/>
  <c r="F4" i="2"/>
  <c r="D15" i="2" s="1"/>
  <c r="E4" i="2"/>
  <c r="C15" i="2" s="1"/>
  <c r="D4" i="2"/>
  <c r="C4" i="2"/>
  <c r="H3" i="2"/>
  <c r="G3" i="2"/>
  <c r="F3" i="2"/>
  <c r="D14" i="2" s="1"/>
  <c r="E3" i="2"/>
  <c r="C14" i="2" s="1"/>
  <c r="D3" i="2"/>
  <c r="C3" i="2"/>
  <c r="H2" i="2"/>
  <c r="G2" i="2"/>
  <c r="F2" i="2"/>
  <c r="D13" i="2" s="1"/>
  <c r="E2" i="2"/>
  <c r="C13" i="2" s="1"/>
  <c r="D2" i="2"/>
  <c r="C2" i="2"/>
  <c r="B15" i="2" l="1"/>
  <c r="I4" i="2"/>
  <c r="B16" i="2"/>
  <c r="I5" i="2"/>
  <c r="B14" i="2"/>
  <c r="I3" i="2"/>
  <c r="B13" i="2"/>
  <c r="I2" i="2"/>
</calcChain>
</file>

<file path=xl/sharedStrings.xml><?xml version="1.0" encoding="utf-8"?>
<sst xmlns="http://schemas.openxmlformats.org/spreadsheetml/2006/main" count="338" uniqueCount="89">
  <si>
    <t>Test #</t>
  </si>
  <si>
    <t>Provider</t>
  </si>
  <si>
    <t>Language</t>
  </si>
  <si>
    <t>Query</t>
  </si>
  <si>
    <t>Latency (s)</t>
  </si>
  <si>
    <t>HTTP status</t>
  </si>
  <si>
    <t>Reply language</t>
  </si>
  <si>
    <t>Sources shown</t>
  </si>
  <si>
    <t>Reply length (chars)</t>
  </si>
  <si>
    <t>Claude Haiku 4.5 (primary)</t>
  </si>
  <si>
    <t>English</t>
  </si>
  <si>
    <t>Where is the SA1 campus?</t>
  </si>
  <si>
    <t>How much are the tuition fees?</t>
  </si>
  <si>
    <t>How do I apply for accommodation?</t>
  </si>
  <si>
    <t>What are the library opening hours?</t>
  </si>
  <si>
    <t>How do I apply to UWTSD?</t>
  </si>
  <si>
    <t>How do I apply for student finance?</t>
  </si>
  <si>
    <t>When is graduation?</t>
  </si>
  <si>
    <t>How do I travel between campuses?</t>
  </si>
  <si>
    <t>What wellbeing support is available?</t>
  </si>
  <si>
    <t>What courses does the university offer?</t>
  </si>
  <si>
    <t>How do I contact my personal tutor?</t>
  </si>
  <si>
    <t>What can I do at the students' union?</t>
  </si>
  <si>
    <t>How do I get IT support?</t>
  </si>
  <si>
    <t>What financial hardship support exists?</t>
  </si>
  <si>
    <t>How do I report extenuating circumstances?</t>
  </si>
  <si>
    <t>Welsh</t>
  </si>
  <si>
    <t>Ble mae campws SA1?</t>
  </si>
  <si>
    <t>Faint yw'r ffioedd dysgu?</t>
  </si>
  <si>
    <t>Sut ydw i'n gwneud cais am lety?</t>
  </si>
  <si>
    <t>Beth yw oriau agor y llyfrgell?</t>
  </si>
  <si>
    <t>Sut mae gwneud cais i PCYDDS?</t>
  </si>
  <si>
    <t>Sut mae gwneud cais am gyllid myfyrwyr?</t>
  </si>
  <si>
    <t>Pryd mae'r seremoni raddio?</t>
  </si>
  <si>
    <t>Sut allaf deithio rhwng campysau?</t>
  </si>
  <si>
    <t>Pa gefnogaeth lles sydd ar gael?</t>
  </si>
  <si>
    <t>Pa gyrsiau mae'r brifysgol yn eu cynnig?</t>
  </si>
  <si>
    <t>Sut ydw i'n cysylltu â'm tiwtor personol?</t>
  </si>
  <si>
    <t>Beth alla i ei wneud yn undeb y myfyrwyr?</t>
  </si>
  <si>
    <t>Sut ydw i'n cael cymorth TG?</t>
  </si>
  <si>
    <t>Pa gymorth caledi ariannol sydd ar gael?</t>
  </si>
  <si>
    <t>Sut ydw i'n rhoi gwybod am amgylchiadau esgusodol?</t>
  </si>
  <si>
    <t>Llama 3.1 8B Q5_K_M (fallback)</t>
  </si>
  <si>
    <t>Source: scripts/benchmark_latency.py run on 2026-08-09 against the local backend (localhost:3001). 30 requests per provider (15 English / 15 Welsh, paired phrasings). Timing spans the full /api/chat round trip; tunnel and network overhead excluded. Raw CSVs: benchmark_results/latency_per_query.csv and latency_ollama_per_query.csv.</t>
  </si>
  <si>
    <t>n</t>
  </si>
  <si>
    <t>Mean (s)</t>
  </si>
  <si>
    <t>Median (s)</t>
  </si>
  <si>
    <t>95th percentile (s)</t>
  </si>
  <si>
    <t>Min (s)</t>
  </si>
  <si>
    <t>Max (s)</t>
  </si>
  <si>
    <t>Mean &lt; 8s (N1)</t>
  </si>
  <si>
    <t>Claude Haiku 4.5</t>
  </si>
  <si>
    <t>Llama 3.1 8B (local)</t>
  </si>
  <si>
    <t>Overall</t>
  </si>
  <si>
    <t>N1 target (s):</t>
  </si>
  <si>
    <t>Requirement N1: mean response latency below 8 seconds (Chapter 4, Table 4.1). User-editable input.</t>
  </si>
  <si>
    <t>Chart data (references Summary rows above)</t>
  </si>
  <si>
    <t>Group</t>
  </si>
  <si>
    <t>N1 target (s)</t>
  </si>
  <si>
    <t>English — Claude Haiku 4.5 Welsh — Claude Haiku 4.5 English — Llama 3.1 8B (local) Welsh — Llama 3.1 8B (local)</t>
  </si>
  <si>
    <t>Sum</t>
  </si>
  <si>
    <t>Average</t>
  </si>
  <si>
    <t>Running Total</t>
  </si>
  <si>
    <t>Count</t>
  </si>
  <si>
    <t>How to read the box plot — five-number summary per group</t>
  </si>
  <si>
    <t>Q1 (s)</t>
  </si>
  <si>
    <t>Q3 (s)</t>
  </si>
  <si>
    <t>95th pct (s)</t>
  </si>
  <si>
    <t>IQR (s)</t>
  </si>
  <si>
    <t>Reading the chart</t>
  </si>
  <si>
    <t>Box = middle 50% of requests (Q1 to Q3, the interquartile range).  Line inside box = median (Q2).  × = mean.</t>
  </si>
  <si>
    <t>Whiskers = min and max of the non-outlier range.  Individual dots = every one of the 15 requests in that group.</t>
  </si>
  <si>
    <t>Isolated dots beyond the whiskers = outliers.  Quartiles use the inclusive method (QUARTILE.INC).</t>
  </si>
  <si>
    <t>N1 requirement: group mean response time under 8 seconds. Welsh – Llama 3.1 8B is the only group that fails.</t>
  </si>
  <si>
    <t>CHART HELPER DATA (feeds the scatter box plot) — do not delete</t>
  </si>
  <si>
    <t>base(Q1)</t>
  </si>
  <si>
    <t>lowBox</t>
  </si>
  <si>
    <t>medBand</t>
  </si>
  <si>
    <t>highBox</t>
  </si>
  <si>
    <t>errDown</t>
  </si>
  <si>
    <t>errUp</t>
  </si>
  <si>
    <t>meanX</t>
  </si>
  <si>
    <t>meanY</t>
  </si>
  <si>
    <t>whiskX</t>
  </si>
  <si>
    <t>whiskY</t>
  </si>
  <si>
    <t>boxX</t>
  </si>
  <si>
    <t>boxY</t>
  </si>
  <si>
    <t>medX</t>
  </si>
  <si>
    <t>medY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</si>
</sst>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i/>
      <sz val="10"/>
      <color theme="1"/>
      <name val="Arial"/>
    </font>
    <font>
      <i/>
      <sz val="9"/>
      <color rgb="FF8080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/>
      <top style="thin">
        <color rgb="FFD9D9D9"/>
      </top>
      <bottom style="thin">
        <color rgb="FF808080"/>
      </bottom>
      <diagonal/>
    </border>
    <border>
      <left/>
      <right style="thin">
        <color rgb="FFD9D9D9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2" fontId="2" fillId="3" borderId="1" xfId="0" applyNumberFormat="1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0" fontId="3" fillId="0" borderId="0" xfId="0" applyFont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1" fontId="5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6" fillId="4" borderId="0" xfId="0" applyFont="1" applyFill="1" applyAlignment="1">
      <alignment horizontal="center" wrapText="1"/>
    </xf>
    <xf numFmtId="2" fontId="7" fillId="0" borderId="0" xfId="0" applyNumberFormat="1" applyFont="1"/>
    <xf numFmtId="0" fontId="8" fillId="0" borderId="0" xfId="0" applyFont="1"/>
    <xf numFmtId="0" fontId="9" fillId="0" borderId="0" xfId="0" applyFont="1"/>
    <xf numFmtId="1" fontId="9" fillId="0" borderId="6" xfId="0" applyNumberFormat="1" applyFont="1" applyBorder="1"/>
    <xf numFmtId="2" fontId="9" fillId="0" borderId="6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" fontId="9" fillId="0" borderId="9" xfId="0" applyNumberFormat="1" applyFont="1" applyBorder="1"/>
    <xf numFmtId="2" fontId="9" fillId="0" borderId="9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" fontId="9" fillId="0" borderId="3" xfId="0" applyNumberFormat="1" applyFont="1" applyBorder="1"/>
    <xf numFmtId="2" fontId="9" fillId="0" borderId="3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5" borderId="11" xfId="0" applyFont="1" applyFill="1" applyBorder="1"/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0" borderId="2" xfId="0" applyFont="1" applyBorder="1"/>
    <xf numFmtId="0" fontId="10" fillId="0" borderId="5" xfId="0" applyFont="1" applyBorder="1"/>
    <xf numFmtId="0" fontId="10" fillId="0" borderId="8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U-Pal response latency by provider and language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Summary!$B$12</c:f>
              <c:strCache>
                <c:ptCount val="1"/>
                <c:pt idx="0">
                  <c:v>Mean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Summary!$A$13:$A$16</c:f>
              <c:strCache>
                <c:ptCount val="4"/>
                <c:pt idx="0">
                  <c:v>Claude Haiku 4.5 — English</c:v>
                </c:pt>
                <c:pt idx="1">
                  <c:v>Claude Haiku 4.5 — Welsh</c:v>
                </c:pt>
                <c:pt idx="2">
                  <c:v>Llama 3.1 8B (local) — English</c:v>
                </c:pt>
                <c:pt idx="3">
                  <c:v>Llama 3.1 8B (local) — Welsh</c:v>
                </c:pt>
              </c:strCache>
            </c:strRef>
          </c:cat>
          <c:val>
            <c:numRef>
              <c:f>Summary!$B$13:$B$16</c:f>
              <c:numCache>
                <c:formatCode>0.00</c:formatCode>
                <c:ptCount val="4"/>
                <c:pt idx="0">
                  <c:v>2.1975333333333333</c:v>
                </c:pt>
                <c:pt idx="1">
                  <c:v>3.4323333333333337</c:v>
                </c:pt>
                <c:pt idx="2">
                  <c:v>3.5974000000000004</c:v>
                </c:pt>
                <c:pt idx="3">
                  <c:v>8.5050666666666661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3-42AE-BDB8-5FD14CD6634B}"/>
            </c:ext>
          </c:extLst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Median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Summary!$A$13:$A$16</c:f>
              <c:strCache>
                <c:ptCount val="4"/>
                <c:pt idx="0">
                  <c:v>Claude Haiku 4.5 — English</c:v>
                </c:pt>
                <c:pt idx="1">
                  <c:v>Claude Haiku 4.5 — Welsh</c:v>
                </c:pt>
                <c:pt idx="2">
                  <c:v>Llama 3.1 8B (local) — English</c:v>
                </c:pt>
                <c:pt idx="3">
                  <c:v>Llama 3.1 8B (local) — Welsh</c:v>
                </c:pt>
              </c:strCache>
            </c:strRef>
          </c:cat>
          <c:val>
            <c:numRef>
              <c:f>Summary!$C$13:$C$16</c:f>
              <c:numCache>
                <c:formatCode>0.00</c:formatCode>
                <c:ptCount val="4"/>
                <c:pt idx="0">
                  <c:v>2.08</c:v>
                </c:pt>
                <c:pt idx="1">
                  <c:v>3.177</c:v>
                </c:pt>
                <c:pt idx="2">
                  <c:v>3.524</c:v>
                </c:pt>
                <c:pt idx="3">
                  <c:v>7.7629999999999999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3-42AE-BDB8-5FD14CD6634B}"/>
            </c:ext>
          </c:extLst>
        </c:ser>
        <c:ser>
          <c:idx val="2"/>
          <c:order val="2"/>
          <c:tx>
            <c:strRef>
              <c:f>Summary!$D$12</c:f>
              <c:strCache>
                <c:ptCount val="1"/>
                <c:pt idx="0">
                  <c:v>95th percentile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Summary!$A$13:$A$16</c:f>
              <c:strCache>
                <c:ptCount val="4"/>
                <c:pt idx="0">
                  <c:v>Claude Haiku 4.5 — English</c:v>
                </c:pt>
                <c:pt idx="1">
                  <c:v>Claude Haiku 4.5 — Welsh</c:v>
                </c:pt>
                <c:pt idx="2">
                  <c:v>Llama 3.1 8B (local) — English</c:v>
                </c:pt>
                <c:pt idx="3">
                  <c:v>Llama 3.1 8B (local) — Welsh</c:v>
                </c:pt>
              </c:strCache>
            </c:strRef>
          </c:cat>
          <c:val>
            <c:numRef>
              <c:f>Summary!$D$13:$D$16</c:f>
              <c:numCache>
                <c:formatCode>0.00</c:formatCode>
                <c:ptCount val="4"/>
                <c:pt idx="0">
                  <c:v>3.4581999999999979</c:v>
                </c:pt>
                <c:pt idx="1">
                  <c:v>5.6869999999999967</c:v>
                </c:pt>
                <c:pt idx="2">
                  <c:v>4.2888000000000002</c:v>
                </c:pt>
                <c:pt idx="3">
                  <c:v>12.9947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3-42AE-BDB8-5FD14CD66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lineChart>
        <c:grouping val="standard"/>
        <c:varyColors val="1"/>
        <c:ser>
          <c:idx val="3"/>
          <c:order val="3"/>
          <c:tx>
            <c:strRef>
              <c:f>Summary!$E$12</c:f>
              <c:strCache>
                <c:ptCount val="1"/>
                <c:pt idx="0">
                  <c:v>N1 target (s)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Summary!$A$13:$A$16</c:f>
              <c:strCache>
                <c:ptCount val="4"/>
                <c:pt idx="0">
                  <c:v>Claude Haiku 4.5 — English</c:v>
                </c:pt>
                <c:pt idx="1">
                  <c:v>Claude Haiku 4.5 — Welsh</c:v>
                </c:pt>
                <c:pt idx="2">
                  <c:v>Llama 3.1 8B (local) — English</c:v>
                </c:pt>
                <c:pt idx="3">
                  <c:v>Llama 3.1 8B (local) — Welsh</c:v>
                </c:pt>
              </c:strCache>
            </c:strRef>
          </c:cat>
          <c:val>
            <c:numRef>
              <c:f>Summary!$E$13:$E$16</c:f>
              <c:numCache>
                <c:formatCode>0.00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23-42AE-BDB8-5FD14CD66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U-Pal end-to-end response latency by provider and language (N1 target: mean under 8 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English – Claude Haiku 4.5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'Chart Data'!$N$2:$N$16</c:f>
              <c:numCache>
                <c:formatCode>General</c:formatCode>
                <c:ptCount val="15"/>
                <c:pt idx="0">
                  <c:v>0.63573770491803283</c:v>
                </c:pt>
                <c:pt idx="1">
                  <c:v>0.16360655737704916</c:v>
                </c:pt>
                <c:pt idx="2">
                  <c:v>0.41147540983606556</c:v>
                </c:pt>
                <c:pt idx="3">
                  <c:v>0.65934426229508203</c:v>
                </c:pt>
                <c:pt idx="4">
                  <c:v>0.18721311475409841</c:v>
                </c:pt>
                <c:pt idx="5">
                  <c:v>0.43508196721311476</c:v>
                </c:pt>
                <c:pt idx="6">
                  <c:v>0.68295081967213112</c:v>
                </c:pt>
                <c:pt idx="7">
                  <c:v>0.21081967213114755</c:v>
                </c:pt>
                <c:pt idx="8">
                  <c:v>0.45868852459016396</c:v>
                </c:pt>
                <c:pt idx="9">
                  <c:v>0.70655737704918031</c:v>
                </c:pt>
                <c:pt idx="10">
                  <c:v>0.23442622950819675</c:v>
                </c:pt>
                <c:pt idx="11">
                  <c:v>0.4822950819672131</c:v>
                </c:pt>
                <c:pt idx="12">
                  <c:v>0.73016393442622951</c:v>
                </c:pt>
                <c:pt idx="13">
                  <c:v>0.25803278688524589</c:v>
                </c:pt>
                <c:pt idx="14">
                  <c:v>0.50590163934426235</c:v>
                </c:pt>
              </c:numCache>
            </c:numRef>
          </c:xVal>
          <c:yVal>
            <c:numRef>
              <c:f>'Chart Data'!$O$2:$O$16</c:f>
              <c:numCache>
                <c:formatCode>General</c:formatCode>
                <c:ptCount val="15"/>
                <c:pt idx="0">
                  <c:v>1.8320000000000001</c:v>
                </c:pt>
                <c:pt idx="1">
                  <c:v>1.66</c:v>
                </c:pt>
                <c:pt idx="2">
                  <c:v>2.65</c:v>
                </c:pt>
                <c:pt idx="3">
                  <c:v>1.2110000000000001</c:v>
                </c:pt>
                <c:pt idx="4">
                  <c:v>2.9409999999999998</c:v>
                </c:pt>
                <c:pt idx="5">
                  <c:v>2.141</c:v>
                </c:pt>
                <c:pt idx="6">
                  <c:v>2.3660000000000001</c:v>
                </c:pt>
                <c:pt idx="7">
                  <c:v>1.444</c:v>
                </c:pt>
                <c:pt idx="8">
                  <c:v>2.08</c:v>
                </c:pt>
                <c:pt idx="9">
                  <c:v>2.1720000000000002</c:v>
                </c:pt>
                <c:pt idx="10">
                  <c:v>1.9830000000000001</c:v>
                </c:pt>
                <c:pt idx="11">
                  <c:v>4.665</c:v>
                </c:pt>
                <c:pt idx="12">
                  <c:v>1.6830000000000001</c:v>
                </c:pt>
                <c:pt idx="13">
                  <c:v>2.444</c:v>
                </c:pt>
                <c:pt idx="14">
                  <c:v>1.6910000000000001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B9-4FBD-B9C8-7457EFA6A4BA}"/>
            </c:ext>
          </c:extLst>
        </c:ser>
        <c:ser>
          <c:idx val="1"/>
          <c:order val="1"/>
          <c:tx>
            <c:v>Welsh – Claude Haiku 4.5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'Chart Data'!$P$2:$P$16</c:f>
              <c:numCache>
                <c:formatCode>General</c:formatCode>
                <c:ptCount val="15"/>
                <c:pt idx="0">
                  <c:v>1.5885245901639344</c:v>
                </c:pt>
                <c:pt idx="1">
                  <c:v>1.8127868852459017</c:v>
                </c:pt>
                <c:pt idx="2">
                  <c:v>1.3170491803278688</c:v>
                </c:pt>
                <c:pt idx="3">
                  <c:v>1.541311475409836</c:v>
                </c:pt>
                <c:pt idx="4">
                  <c:v>1.7655737704918033</c:v>
                </c:pt>
                <c:pt idx="5">
                  <c:v>1.2698360655737706</c:v>
                </c:pt>
                <c:pt idx="6">
                  <c:v>1.4940983606557376</c:v>
                </c:pt>
                <c:pt idx="7">
                  <c:v>1.7183606557377049</c:v>
                </c:pt>
                <c:pt idx="8">
                  <c:v>1.2226229508196722</c:v>
                </c:pt>
                <c:pt idx="9">
                  <c:v>1.4468852459016392</c:v>
                </c:pt>
                <c:pt idx="10">
                  <c:v>1.6711475409836065</c:v>
                </c:pt>
                <c:pt idx="11">
                  <c:v>1.1754098360655738</c:v>
                </c:pt>
                <c:pt idx="12">
                  <c:v>1.3996721311475411</c:v>
                </c:pt>
                <c:pt idx="13">
                  <c:v>1.6239344262295081</c:v>
                </c:pt>
                <c:pt idx="14">
                  <c:v>1.8481967213114754</c:v>
                </c:pt>
              </c:numCache>
            </c:numRef>
          </c:xVal>
          <c:yVal>
            <c:numRef>
              <c:f>'Chart Data'!$Q$2:$Q$16</c:f>
              <c:numCache>
                <c:formatCode>General</c:formatCode>
                <c:ptCount val="15"/>
                <c:pt idx="0">
                  <c:v>1.9330000000000001</c:v>
                </c:pt>
                <c:pt idx="1">
                  <c:v>2.6779999999999999</c:v>
                </c:pt>
                <c:pt idx="2">
                  <c:v>3.4380000000000002</c:v>
                </c:pt>
                <c:pt idx="3">
                  <c:v>3.177</c:v>
                </c:pt>
                <c:pt idx="4">
                  <c:v>3.2509999999999999</c:v>
                </c:pt>
                <c:pt idx="5">
                  <c:v>2.988</c:v>
                </c:pt>
                <c:pt idx="6">
                  <c:v>2.359</c:v>
                </c:pt>
                <c:pt idx="7">
                  <c:v>1.738</c:v>
                </c:pt>
                <c:pt idx="8">
                  <c:v>7.5209999999999999</c:v>
                </c:pt>
                <c:pt idx="9">
                  <c:v>4.7949999999999999</c:v>
                </c:pt>
                <c:pt idx="10">
                  <c:v>2.5339999999999998</c:v>
                </c:pt>
                <c:pt idx="11">
                  <c:v>4.9009999999999998</c:v>
                </c:pt>
                <c:pt idx="12">
                  <c:v>3.2549999999999999</c:v>
                </c:pt>
                <c:pt idx="13">
                  <c:v>3.0609999999999999</c:v>
                </c:pt>
                <c:pt idx="14">
                  <c:v>3.8559999999999999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B9-4FBD-B9C8-7457EFA6A4BA}"/>
            </c:ext>
          </c:extLst>
        </c:ser>
        <c:ser>
          <c:idx val="2"/>
          <c:order val="2"/>
          <c:tx>
            <c:v>English – Llama 3.1 8B (local)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'Chart Data'!$R$2:$R$16</c:f>
              <c:numCache>
                <c:formatCode>General</c:formatCode>
                <c:ptCount val="15"/>
                <c:pt idx="0">
                  <c:v>2.3288524590163933</c:v>
                </c:pt>
                <c:pt idx="1">
                  <c:v>2.4232786885245901</c:v>
                </c:pt>
                <c:pt idx="2">
                  <c:v>2.5177049180327868</c:v>
                </c:pt>
                <c:pt idx="3">
                  <c:v>2.6121311475409836</c:v>
                </c:pt>
                <c:pt idx="4">
                  <c:v>2.7065573770491804</c:v>
                </c:pt>
                <c:pt idx="5">
                  <c:v>2.8009836065573772</c:v>
                </c:pt>
                <c:pt idx="6">
                  <c:v>2.1754098360655738</c:v>
                </c:pt>
                <c:pt idx="7">
                  <c:v>2.2698360655737706</c:v>
                </c:pt>
                <c:pt idx="8">
                  <c:v>2.3642622950819674</c:v>
                </c:pt>
                <c:pt idx="9">
                  <c:v>2.4586885245901637</c:v>
                </c:pt>
                <c:pt idx="10">
                  <c:v>2.5531147540983605</c:v>
                </c:pt>
                <c:pt idx="11">
                  <c:v>2.6475409836065573</c:v>
                </c:pt>
                <c:pt idx="12">
                  <c:v>2.7419672131147541</c:v>
                </c:pt>
                <c:pt idx="13">
                  <c:v>2.8363934426229509</c:v>
                </c:pt>
                <c:pt idx="14">
                  <c:v>2.2108196721311475</c:v>
                </c:pt>
              </c:numCache>
            </c:numRef>
          </c:xVal>
          <c:yVal>
            <c:numRef>
              <c:f>'Chart Data'!$S$2:$S$16</c:f>
              <c:numCache>
                <c:formatCode>General</c:formatCode>
                <c:ptCount val="15"/>
                <c:pt idx="0">
                  <c:v>2.2040000000000002</c:v>
                </c:pt>
                <c:pt idx="1">
                  <c:v>3.2389999999999999</c:v>
                </c:pt>
                <c:pt idx="2">
                  <c:v>4.0949999999999998</c:v>
                </c:pt>
                <c:pt idx="3">
                  <c:v>3.8069999999999999</c:v>
                </c:pt>
                <c:pt idx="4">
                  <c:v>3.8130000000000002</c:v>
                </c:pt>
                <c:pt idx="5">
                  <c:v>3.5150000000000001</c:v>
                </c:pt>
                <c:pt idx="6">
                  <c:v>3.4590000000000001</c:v>
                </c:pt>
                <c:pt idx="7">
                  <c:v>3.524</c:v>
                </c:pt>
                <c:pt idx="8">
                  <c:v>4.2</c:v>
                </c:pt>
                <c:pt idx="9">
                  <c:v>3.2389999999999999</c:v>
                </c:pt>
                <c:pt idx="10">
                  <c:v>3.35</c:v>
                </c:pt>
                <c:pt idx="11">
                  <c:v>4.4960000000000004</c:v>
                </c:pt>
                <c:pt idx="12">
                  <c:v>3.3740000000000001</c:v>
                </c:pt>
                <c:pt idx="13">
                  <c:v>3.9630000000000001</c:v>
                </c:pt>
                <c:pt idx="14">
                  <c:v>3.6829999999999998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B9-4FBD-B9C8-7457EFA6A4BA}"/>
            </c:ext>
          </c:extLst>
        </c:ser>
        <c:ser>
          <c:idx val="3"/>
          <c:order val="3"/>
          <c:tx>
            <c:v>Welsh – Llama 3.1 8B (local)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'Chart Data'!$T$2:$T$16</c:f>
              <c:numCache>
                <c:formatCode>General</c:formatCode>
                <c:ptCount val="15"/>
                <c:pt idx="0">
                  <c:v>3.340655737704918</c:v>
                </c:pt>
                <c:pt idx="1">
                  <c:v>3.8009836065573772</c:v>
                </c:pt>
                <c:pt idx="2">
                  <c:v>3.5413114754098358</c:v>
                </c:pt>
                <c:pt idx="3">
                  <c:v>3.2816393442622953</c:v>
                </c:pt>
                <c:pt idx="4">
                  <c:v>3.7419672131147541</c:v>
                </c:pt>
                <c:pt idx="5">
                  <c:v>3.4822950819672132</c:v>
                </c:pt>
                <c:pt idx="6">
                  <c:v>3.2226229508196722</c:v>
                </c:pt>
                <c:pt idx="7">
                  <c:v>3.682950819672131</c:v>
                </c:pt>
                <c:pt idx="8">
                  <c:v>3.4232786885245901</c:v>
                </c:pt>
                <c:pt idx="9">
                  <c:v>3.1636065573770491</c:v>
                </c:pt>
                <c:pt idx="10">
                  <c:v>3.6239344262295083</c:v>
                </c:pt>
                <c:pt idx="11">
                  <c:v>3.3642622950819674</c:v>
                </c:pt>
                <c:pt idx="12">
                  <c:v>3.8245901639344262</c:v>
                </c:pt>
                <c:pt idx="13">
                  <c:v>3.5649180327868852</c:v>
                </c:pt>
                <c:pt idx="14">
                  <c:v>3.3052459016393443</c:v>
                </c:pt>
              </c:numCache>
            </c:numRef>
          </c:xVal>
          <c:yVal>
            <c:numRef>
              <c:f>'Chart Data'!$U$2:$U$16</c:f>
              <c:numCache>
                <c:formatCode>General</c:formatCode>
                <c:ptCount val="15"/>
                <c:pt idx="0">
                  <c:v>7.7629999999999999</c:v>
                </c:pt>
                <c:pt idx="1">
                  <c:v>7.0469999999999997</c:v>
                </c:pt>
                <c:pt idx="2">
                  <c:v>10.15</c:v>
                </c:pt>
                <c:pt idx="3">
                  <c:v>7.3520000000000003</c:v>
                </c:pt>
                <c:pt idx="4">
                  <c:v>10.183</c:v>
                </c:pt>
                <c:pt idx="5">
                  <c:v>13.574999999999999</c:v>
                </c:pt>
                <c:pt idx="6">
                  <c:v>8.3000000000000007</c:v>
                </c:pt>
                <c:pt idx="7">
                  <c:v>7.4950000000000001</c:v>
                </c:pt>
                <c:pt idx="8">
                  <c:v>12.746</c:v>
                </c:pt>
                <c:pt idx="9">
                  <c:v>6.899</c:v>
                </c:pt>
                <c:pt idx="10">
                  <c:v>6.2960000000000003</c:v>
                </c:pt>
                <c:pt idx="11">
                  <c:v>5.4880000000000004</c:v>
                </c:pt>
                <c:pt idx="12">
                  <c:v>7.1639999999999997</c:v>
                </c:pt>
                <c:pt idx="13">
                  <c:v>8.2729999999999997</c:v>
                </c:pt>
                <c:pt idx="14">
                  <c:v>8.8450000000000006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B9-4FBD-B9C8-7457EFA6A4BA}"/>
            </c:ext>
          </c:extLst>
        </c:ser>
        <c:ser>
          <c:idx val="4"/>
          <c:order val="4"/>
          <c:tx>
            <c:v>N1 target: 8s</c:v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Data'!$W$26:$W$27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'Chart Data'!$X$26:$X$27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B9-4FBD-B9C8-7457EFA6A4BA}"/>
            </c:ext>
          </c:extLst>
        </c:ser>
        <c:ser>
          <c:idx val="5"/>
          <c:order val="5"/>
          <c:tx>
            <c:v>b1</c:v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Data'!$AC$2:$AC$6</c:f>
              <c:numCache>
                <c:formatCode>General</c:formatCode>
                <c:ptCount val="5"/>
                <c:pt idx="0">
                  <c:v>0.18</c:v>
                </c:pt>
                <c:pt idx="1">
                  <c:v>0.82</c:v>
                </c:pt>
                <c:pt idx="2">
                  <c:v>0.82</c:v>
                </c:pt>
                <c:pt idx="3">
                  <c:v>0.18</c:v>
                </c:pt>
                <c:pt idx="4">
                  <c:v>0.18</c:v>
                </c:pt>
              </c:numCache>
            </c:numRef>
          </c:xVal>
          <c:yVal>
            <c:numRef>
              <c:f>'Chart Data'!$AD$2:$AD$6</c:f>
              <c:numCache>
                <c:formatCode>General</c:formatCode>
                <c:ptCount val="5"/>
                <c:pt idx="0">
                  <c:v>1.6870000000000001</c:v>
                </c:pt>
                <c:pt idx="1">
                  <c:v>1.6870000000000001</c:v>
                </c:pt>
                <c:pt idx="2">
                  <c:v>2.4050000000000002</c:v>
                </c:pt>
                <c:pt idx="3">
                  <c:v>2.4050000000000002</c:v>
                </c:pt>
                <c:pt idx="4">
                  <c:v>1.6870000000000001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B9-4FBD-B9C8-7457EFA6A4BA}"/>
            </c:ext>
          </c:extLst>
        </c:ser>
        <c:ser>
          <c:idx val="6"/>
          <c:order val="6"/>
          <c:tx>
            <c:v>b2</c:v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Data'!$AC$8:$AC$12</c:f>
              <c:numCache>
                <c:formatCode>General</c:formatCode>
                <c:ptCount val="5"/>
                <c:pt idx="0">
                  <c:v>1.18</c:v>
                </c:pt>
                <c:pt idx="1">
                  <c:v>1.82</c:v>
                </c:pt>
                <c:pt idx="2">
                  <c:v>1.82</c:v>
                </c:pt>
                <c:pt idx="3">
                  <c:v>1.18</c:v>
                </c:pt>
                <c:pt idx="4">
                  <c:v>1.18</c:v>
                </c:pt>
              </c:numCache>
            </c:numRef>
          </c:xVal>
          <c:yVal>
            <c:numRef>
              <c:f>'Chart Data'!$AD$8:$AD$12</c:f>
              <c:numCache>
                <c:formatCode>General</c:formatCode>
                <c:ptCount val="5"/>
                <c:pt idx="0">
                  <c:v>2.6059999999999999</c:v>
                </c:pt>
                <c:pt idx="1">
                  <c:v>2.6059999999999999</c:v>
                </c:pt>
                <c:pt idx="2">
                  <c:v>3.6470000000000002</c:v>
                </c:pt>
                <c:pt idx="3">
                  <c:v>3.6470000000000002</c:v>
                </c:pt>
                <c:pt idx="4">
                  <c:v>2.6059999999999999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B9-4FBD-B9C8-7457EFA6A4BA}"/>
            </c:ext>
          </c:extLst>
        </c:ser>
        <c:ser>
          <c:idx val="7"/>
          <c:order val="7"/>
          <c:tx>
            <c:v>b3</c:v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Data'!$AC$14:$AC$18</c:f>
              <c:numCache>
                <c:formatCode>General</c:formatCode>
                <c:ptCount val="5"/>
                <c:pt idx="0">
                  <c:v>2.1800000000000002</c:v>
                </c:pt>
                <c:pt idx="1">
                  <c:v>2.82</c:v>
                </c:pt>
                <c:pt idx="2">
                  <c:v>2.82</c:v>
                </c:pt>
                <c:pt idx="3">
                  <c:v>2.1800000000000002</c:v>
                </c:pt>
                <c:pt idx="4">
                  <c:v>2.1800000000000002</c:v>
                </c:pt>
              </c:numCache>
            </c:numRef>
          </c:xVal>
          <c:yVal>
            <c:numRef>
              <c:f>'Chart Data'!$AD$14:$AD$18</c:f>
              <c:numCache>
                <c:formatCode>General</c:formatCode>
                <c:ptCount val="5"/>
                <c:pt idx="0">
                  <c:v>3.3620000000000001</c:v>
                </c:pt>
                <c:pt idx="1">
                  <c:v>3.3620000000000001</c:v>
                </c:pt>
                <c:pt idx="2">
                  <c:v>3.8879999999999999</c:v>
                </c:pt>
                <c:pt idx="3">
                  <c:v>3.8879999999999999</c:v>
                </c:pt>
                <c:pt idx="4">
                  <c:v>3.3620000000000001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B9-4FBD-B9C8-7457EFA6A4BA}"/>
            </c:ext>
          </c:extLst>
        </c:ser>
        <c:ser>
          <c:idx val="8"/>
          <c:order val="8"/>
          <c:tx>
            <c:v>b4</c:v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Data'!$AC$20:$AC$24</c:f>
              <c:numCache>
                <c:formatCode>General</c:formatCode>
                <c:ptCount val="5"/>
                <c:pt idx="0">
                  <c:v>3.18</c:v>
                </c:pt>
                <c:pt idx="1">
                  <c:v>3.82</c:v>
                </c:pt>
                <c:pt idx="2">
                  <c:v>3.82</c:v>
                </c:pt>
                <c:pt idx="3">
                  <c:v>3.18</c:v>
                </c:pt>
                <c:pt idx="4">
                  <c:v>3.18</c:v>
                </c:pt>
              </c:numCache>
            </c:numRef>
          </c:xVal>
          <c:yVal>
            <c:numRef>
              <c:f>'Chart Data'!$AD$20:$AD$24</c:f>
              <c:numCache>
                <c:formatCode>General</c:formatCode>
                <c:ptCount val="5"/>
                <c:pt idx="0">
                  <c:v>7.1054999999999993</c:v>
                </c:pt>
                <c:pt idx="1">
                  <c:v>7.1054999999999993</c:v>
                </c:pt>
                <c:pt idx="2">
                  <c:v>9.4975000000000005</c:v>
                </c:pt>
                <c:pt idx="3">
                  <c:v>9.4975000000000005</c:v>
                </c:pt>
                <c:pt idx="4">
                  <c:v>7.1054999999999993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B9-4FBD-B9C8-7457EFA6A4BA}"/>
            </c:ext>
          </c:extLst>
        </c:ser>
        <c:ser>
          <c:idx val="9"/>
          <c:order val="9"/>
          <c:tx>
            <c:v>m1</c:v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Data'!$AF$2:$AF$3</c:f>
              <c:numCache>
                <c:formatCode>General</c:formatCode>
                <c:ptCount val="2"/>
                <c:pt idx="0">
                  <c:v>0.18</c:v>
                </c:pt>
                <c:pt idx="1">
                  <c:v>0.82</c:v>
                </c:pt>
              </c:numCache>
            </c:numRef>
          </c:xVal>
          <c:yVal>
            <c:numRef>
              <c:f>'Chart Data'!$AG$2:$AG$3</c:f>
              <c:numCache>
                <c:formatCode>General</c:formatCode>
                <c:ptCount val="2"/>
                <c:pt idx="0">
                  <c:v>2.08</c:v>
                </c:pt>
                <c:pt idx="1">
                  <c:v>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BB9-4FBD-B9C8-7457EFA6A4BA}"/>
            </c:ext>
          </c:extLst>
        </c:ser>
        <c:ser>
          <c:idx val="10"/>
          <c:order val="10"/>
          <c:tx>
            <c:v>m2</c:v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Data'!$AF$5:$AF$6</c:f>
              <c:numCache>
                <c:formatCode>General</c:formatCode>
                <c:ptCount val="2"/>
                <c:pt idx="0">
                  <c:v>1.18</c:v>
                </c:pt>
                <c:pt idx="1">
                  <c:v>1.82</c:v>
                </c:pt>
              </c:numCache>
            </c:numRef>
          </c:xVal>
          <c:yVal>
            <c:numRef>
              <c:f>'Chart Data'!$AG$5:$AG$6</c:f>
              <c:numCache>
                <c:formatCode>General</c:formatCode>
                <c:ptCount val="2"/>
                <c:pt idx="0">
                  <c:v>3.177</c:v>
                </c:pt>
                <c:pt idx="1">
                  <c:v>3.177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BB9-4FBD-B9C8-7457EFA6A4BA}"/>
            </c:ext>
          </c:extLst>
        </c:ser>
        <c:ser>
          <c:idx val="11"/>
          <c:order val="11"/>
          <c:tx>
            <c:v>m3</c:v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Data'!$AF$8:$AF$9</c:f>
              <c:numCache>
                <c:formatCode>General</c:formatCode>
                <c:ptCount val="2"/>
                <c:pt idx="0">
                  <c:v>2.1800000000000002</c:v>
                </c:pt>
                <c:pt idx="1">
                  <c:v>2.82</c:v>
                </c:pt>
              </c:numCache>
            </c:numRef>
          </c:xVal>
          <c:yVal>
            <c:numRef>
              <c:f>'Chart Data'!$AG$8:$AG$9</c:f>
              <c:numCache>
                <c:formatCode>General</c:formatCode>
                <c:ptCount val="2"/>
                <c:pt idx="0">
                  <c:v>3.524</c:v>
                </c:pt>
                <c:pt idx="1">
                  <c:v>3.524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BB9-4FBD-B9C8-7457EFA6A4BA}"/>
            </c:ext>
          </c:extLst>
        </c:ser>
        <c:ser>
          <c:idx val="12"/>
          <c:order val="12"/>
          <c:tx>
            <c:v>m4</c:v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Data'!$AF$11:$AF$12</c:f>
              <c:numCache>
                <c:formatCode>General</c:formatCode>
                <c:ptCount val="2"/>
                <c:pt idx="0">
                  <c:v>3.18</c:v>
                </c:pt>
                <c:pt idx="1">
                  <c:v>3.82</c:v>
                </c:pt>
              </c:numCache>
            </c:numRef>
          </c:xVal>
          <c:yVal>
            <c:numRef>
              <c:f>'Chart Data'!$AG$11:$AG$12</c:f>
              <c:numCache>
                <c:formatCode>General</c:formatCode>
                <c:ptCount val="2"/>
                <c:pt idx="0">
                  <c:v>7.7629999999999999</c:v>
                </c:pt>
                <c:pt idx="1">
                  <c:v>7.7629999999999999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BB9-4FBD-B9C8-7457EFA6A4BA}"/>
            </c:ext>
          </c:extLst>
        </c:ser>
        <c:ser>
          <c:idx val="13"/>
          <c:order val="13"/>
          <c:tx>
            <c:v>w1L</c:v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Data'!$Z$2:$Z$3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'Chart Data'!$AA$2:$AA$3</c:f>
              <c:numCache>
                <c:formatCode>General</c:formatCode>
                <c:ptCount val="2"/>
                <c:pt idx="0">
                  <c:v>1.2110000000000001</c:v>
                </c:pt>
                <c:pt idx="1">
                  <c:v>1.6870000000000001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BB9-4FBD-B9C8-7457EFA6A4BA}"/>
            </c:ext>
          </c:extLst>
        </c:ser>
        <c:ser>
          <c:idx val="14"/>
          <c:order val="14"/>
          <c:tx>
            <c:v>w1U</c:v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Data'!$Z$5:$Z$6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'Chart Data'!$AA$5:$AA$6</c:f>
              <c:numCache>
                <c:formatCode>General</c:formatCode>
                <c:ptCount val="2"/>
                <c:pt idx="0">
                  <c:v>2.4050000000000002</c:v>
                </c:pt>
                <c:pt idx="1">
                  <c:v>4.665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BB9-4FBD-B9C8-7457EFA6A4BA}"/>
            </c:ext>
          </c:extLst>
        </c:ser>
        <c:ser>
          <c:idx val="15"/>
          <c:order val="15"/>
          <c:tx>
            <c:v>w2L</c:v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Data'!$Z$8:$Z$9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xVal>
          <c:yVal>
            <c:numRef>
              <c:f>'Chart Data'!$AA$8:$AA$9</c:f>
              <c:numCache>
                <c:formatCode>General</c:formatCode>
                <c:ptCount val="2"/>
                <c:pt idx="0">
                  <c:v>1.738</c:v>
                </c:pt>
                <c:pt idx="1">
                  <c:v>2.6059999999999999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BB9-4FBD-B9C8-7457EFA6A4BA}"/>
            </c:ext>
          </c:extLst>
        </c:ser>
        <c:ser>
          <c:idx val="16"/>
          <c:order val="16"/>
          <c:tx>
            <c:v>w2U</c:v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Data'!$Z$11:$Z$12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xVal>
          <c:yVal>
            <c:numRef>
              <c:f>'Chart Data'!$AA$11:$AA$12</c:f>
              <c:numCache>
                <c:formatCode>General</c:formatCode>
                <c:ptCount val="2"/>
                <c:pt idx="0">
                  <c:v>3.6470000000000002</c:v>
                </c:pt>
                <c:pt idx="1">
                  <c:v>7.5209999999999999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BB9-4FBD-B9C8-7457EFA6A4BA}"/>
            </c:ext>
          </c:extLst>
        </c:ser>
        <c:ser>
          <c:idx val="17"/>
          <c:order val="17"/>
          <c:tx>
            <c:v>w3L</c:v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Data'!$Z$14:$Z$15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'Chart Data'!$AA$14:$AA$15</c:f>
              <c:numCache>
                <c:formatCode>General</c:formatCode>
                <c:ptCount val="2"/>
                <c:pt idx="0">
                  <c:v>2.2040000000000002</c:v>
                </c:pt>
                <c:pt idx="1">
                  <c:v>3.3620000000000001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BB9-4FBD-B9C8-7457EFA6A4BA}"/>
            </c:ext>
          </c:extLst>
        </c:ser>
        <c:ser>
          <c:idx val="18"/>
          <c:order val="18"/>
          <c:tx>
            <c:v>w3U</c:v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Data'!$Z$17:$Z$18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'Chart Data'!$AA$17:$AA$18</c:f>
              <c:numCache>
                <c:formatCode>General</c:formatCode>
                <c:ptCount val="2"/>
                <c:pt idx="0">
                  <c:v>3.8879999999999999</c:v>
                </c:pt>
                <c:pt idx="1">
                  <c:v>4.4960000000000004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BB9-4FBD-B9C8-7457EFA6A4BA}"/>
            </c:ext>
          </c:extLst>
        </c:ser>
        <c:ser>
          <c:idx val="19"/>
          <c:order val="19"/>
          <c:tx>
            <c:v>w4L</c:v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Data'!$Z$20:$Z$21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'Chart Data'!$AA$20:$AA$21</c:f>
              <c:numCache>
                <c:formatCode>General</c:formatCode>
                <c:ptCount val="2"/>
                <c:pt idx="0">
                  <c:v>5.4880000000000004</c:v>
                </c:pt>
                <c:pt idx="1">
                  <c:v>7.1054999999999993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BB9-4FBD-B9C8-7457EFA6A4BA}"/>
            </c:ext>
          </c:extLst>
        </c:ser>
        <c:ser>
          <c:idx val="20"/>
          <c:order val="20"/>
          <c:tx>
            <c:v>w4U</c:v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'Chart Data'!$Z$23:$Z$24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'Chart Data'!$AA$23:$AA$24</c:f>
              <c:numCache>
                <c:formatCode>General</c:formatCode>
                <c:ptCount val="2"/>
                <c:pt idx="0">
                  <c:v>9.4975000000000005</c:v>
                </c:pt>
                <c:pt idx="1">
                  <c:v>13.574999999999999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BB9-4FBD-B9C8-7457EFA6A4BA}"/>
            </c:ext>
          </c:extLst>
        </c:ser>
        <c:ser>
          <c:idx val="21"/>
          <c:order val="21"/>
          <c:tx>
            <c:v>mean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numFmt formatCode="0.00&quot;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'Chart Data'!$W$20:$W$23</c:f>
              <c:numCache>
                <c:formatCode>General</c:formatCode>
                <c:ptCount val="4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</c:numCache>
            </c:numRef>
          </c:xVal>
          <c:yVal>
            <c:numRef>
              <c:f>'Chart Data'!$X$20:$X$23</c:f>
              <c:numCache>
                <c:formatCode>General</c:formatCode>
                <c:ptCount val="4"/>
                <c:pt idx="0">
                  <c:v>2.1975333333333333</c:v>
                </c:pt>
                <c:pt idx="1">
                  <c:v>3.4323333333333337</c:v>
                </c:pt>
                <c:pt idx="2">
                  <c:v>3.5974000000000004</c:v>
                </c:pt>
                <c:pt idx="3">
                  <c:v>8.5050666666666661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BB9-4FBD-B9C8-7457EFA6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640623"/>
        <c:axId val="1612268207"/>
      </c:scatterChart>
      <c:valAx>
        <c:axId val="1989640623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68207"/>
        <c:crosses val="autoZero"/>
        <c:crossBetween val="midCat"/>
      </c:valAx>
      <c:valAx>
        <c:axId val="1612268207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64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432955</xdr:colOff>
      <xdr:row>27</xdr:row>
      <xdr:rowOff>103908</xdr:rowOff>
    </xdr:from>
    <xdr:to>
      <xdr:col>28</xdr:col>
      <xdr:colOff>318221</xdr:colOff>
      <xdr:row>65</xdr:row>
      <xdr:rowOff>54119</xdr:rowOff>
    </xdr:to>
    <xdr:graphicFrame macro="">
      <xdr:nvGraphicFramePr>
        <xdr:cNvPr id="6" name="ScatterBox">
          <a:extLst>
            <a:ext uri="{FF2B5EF4-FFF2-40B4-BE49-F238E27FC236}">
              <a16:creationId xmlns:a16="http://schemas.microsoft.com/office/drawing/2014/main" id="{33E5F566-0BF3-BF46-DEA9-49E89CB60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11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56BBC2-4826-42AB-ABF6-403DC08F266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70d19b7-12ab-46c2-a24c-46fa0359348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zoomScale="55" zoomScaleNormal="55" workbookViewId="0">
      <pane ySplit="1" topLeftCell="A20" activePane="bottomLeft" state="frozen"/>
      <selection pane="bottomLeft" activeCell="T12" sqref="T12"/>
    </sheetView>
  </sheetViews>
  <sheetFormatPr defaultRowHeight="15" x14ac:dyDescent="0.25"/>
  <cols>
    <col min="1" max="1" width="7" customWidth="1"/>
    <col min="2" max="2" width="30" customWidth="1"/>
    <col min="3" max="3" width="10" customWidth="1"/>
    <col min="4" max="4" width="46" customWidth="1"/>
    <col min="5" max="6" width="11" customWidth="1"/>
    <col min="7" max="7" width="14" customWidth="1"/>
    <col min="8" max="8" width="13" customWidth="1"/>
    <col min="9" max="9" width="18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1</v>
      </c>
      <c r="L1" s="1" t="s">
        <v>2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19" x14ac:dyDescent="0.25">
      <c r="A2" s="2">
        <v>1</v>
      </c>
      <c r="B2" s="2" t="s">
        <v>9</v>
      </c>
      <c r="C2" s="2" t="s">
        <v>10</v>
      </c>
      <c r="D2" s="2" t="s">
        <v>11</v>
      </c>
      <c r="E2" s="3">
        <v>1.8320000000000001</v>
      </c>
      <c r="F2" s="2">
        <v>200</v>
      </c>
      <c r="G2" s="2" t="s">
        <v>10</v>
      </c>
      <c r="H2" s="2">
        <v>2</v>
      </c>
      <c r="I2" s="2">
        <v>506</v>
      </c>
      <c r="K2" s="4" t="s">
        <v>51</v>
      </c>
      <c r="L2" s="4" t="s">
        <v>10</v>
      </c>
      <c r="M2" s="4">
        <f>COUNT('Per-Request Data'!$E$2:$E$16)</f>
        <v>15</v>
      </c>
      <c r="N2" s="5">
        <f>AVERAGE('Per-Request Data'!$E$2:$E$16)</f>
        <v>2.1975333333333333</v>
      </c>
      <c r="O2" s="5">
        <f>MEDIAN('Per-Request Data'!$E$2:$E$16)</f>
        <v>2.08</v>
      </c>
      <c r="P2" s="5">
        <f>PERCENTILE('Per-Request Data'!$E$2:$E$16,0.95)</f>
        <v>3.4581999999999979</v>
      </c>
      <c r="Q2" s="5">
        <f>MIN('Per-Request Data'!$E$2:$E$16)</f>
        <v>1.2110000000000001</v>
      </c>
      <c r="R2" s="5">
        <f>MAX('Per-Request Data'!$E$2:$E$16)</f>
        <v>4.665</v>
      </c>
      <c r="S2" s="4" t="str">
        <f t="shared" ref="S2:S7" si="0">IF(N2&lt;8,"Met","Not met")</f>
        <v>Met</v>
      </c>
    </row>
    <row r="3" spans="1:19" x14ac:dyDescent="0.25">
      <c r="A3" s="4">
        <v>2</v>
      </c>
      <c r="B3" s="4" t="s">
        <v>9</v>
      </c>
      <c r="C3" s="4" t="s">
        <v>10</v>
      </c>
      <c r="D3" s="4" t="s">
        <v>12</v>
      </c>
      <c r="E3" s="5">
        <v>1.66</v>
      </c>
      <c r="F3" s="4">
        <v>200</v>
      </c>
      <c r="G3" s="4" t="s">
        <v>10</v>
      </c>
      <c r="H3" s="4">
        <v>3</v>
      </c>
      <c r="I3" s="4">
        <v>405</v>
      </c>
      <c r="K3" s="4" t="s">
        <v>51</v>
      </c>
      <c r="L3" s="4" t="s">
        <v>26</v>
      </c>
      <c r="M3" s="4">
        <f>COUNT('Per-Request Data'!$E$17:$E$31)</f>
        <v>15</v>
      </c>
      <c r="N3" s="5">
        <f>AVERAGE('Per-Request Data'!$E$17:$E$31)</f>
        <v>3.4323333333333337</v>
      </c>
      <c r="O3" s="5">
        <f>MEDIAN('Per-Request Data'!$E$17:$E$31)</f>
        <v>3.177</v>
      </c>
      <c r="P3" s="5">
        <f>PERCENTILE('Per-Request Data'!$E$17:$E$31,0.95)</f>
        <v>5.6869999999999967</v>
      </c>
      <c r="Q3" s="5">
        <f>MIN('Per-Request Data'!$E$17:$E$31)</f>
        <v>1.738</v>
      </c>
      <c r="R3" s="5">
        <f>MAX('Per-Request Data'!$E$17:$E$31)</f>
        <v>7.5209999999999999</v>
      </c>
      <c r="S3" s="4" t="str">
        <f t="shared" si="0"/>
        <v>Met</v>
      </c>
    </row>
    <row r="4" spans="1:19" x14ac:dyDescent="0.25">
      <c r="A4" s="2">
        <v>3</v>
      </c>
      <c r="B4" s="2" t="s">
        <v>9</v>
      </c>
      <c r="C4" s="2" t="s">
        <v>10</v>
      </c>
      <c r="D4" s="2" t="s">
        <v>13</v>
      </c>
      <c r="E4" s="3">
        <v>2.65</v>
      </c>
      <c r="F4" s="2">
        <v>200</v>
      </c>
      <c r="G4" s="2" t="s">
        <v>10</v>
      </c>
      <c r="H4" s="2">
        <v>3</v>
      </c>
      <c r="I4" s="2">
        <v>821</v>
      </c>
      <c r="K4" s="4" t="s">
        <v>52</v>
      </c>
      <c r="L4" s="4" t="s">
        <v>10</v>
      </c>
      <c r="M4" s="4">
        <f>COUNT('Per-Request Data'!$E$32:$E$46)</f>
        <v>15</v>
      </c>
      <c r="N4" s="5">
        <f>AVERAGE('Per-Request Data'!$E$32:$E$46)</f>
        <v>3.5974000000000004</v>
      </c>
      <c r="O4" s="5">
        <f>MEDIAN('Per-Request Data'!$E$32:$E$46)</f>
        <v>3.524</v>
      </c>
      <c r="P4" s="5">
        <f>PERCENTILE('Per-Request Data'!$E$32:$E$46,0.95)</f>
        <v>4.2888000000000002</v>
      </c>
      <c r="Q4" s="5">
        <f>MIN('Per-Request Data'!$E$32:$E$46)</f>
        <v>2.2040000000000002</v>
      </c>
      <c r="R4" s="5">
        <f>MAX('Per-Request Data'!$E$32:$E$46)</f>
        <v>4.4960000000000004</v>
      </c>
      <c r="S4" s="4" t="str">
        <f t="shared" si="0"/>
        <v>Met</v>
      </c>
    </row>
    <row r="5" spans="1:19" x14ac:dyDescent="0.25">
      <c r="A5" s="4">
        <v>4</v>
      </c>
      <c r="B5" s="4" t="s">
        <v>9</v>
      </c>
      <c r="C5" s="4" t="s">
        <v>10</v>
      </c>
      <c r="D5" s="4" t="s">
        <v>14</v>
      </c>
      <c r="E5" s="5">
        <v>1.2110000000000001</v>
      </c>
      <c r="F5" s="4">
        <v>200</v>
      </c>
      <c r="G5" s="4" t="s">
        <v>10</v>
      </c>
      <c r="H5" s="4">
        <v>1</v>
      </c>
      <c r="I5" s="4">
        <v>303</v>
      </c>
      <c r="K5" s="4" t="s">
        <v>52</v>
      </c>
      <c r="L5" s="4" t="s">
        <v>26</v>
      </c>
      <c r="M5" s="4">
        <f>COUNT('Per-Request Data'!$E$47:$E$61)</f>
        <v>15</v>
      </c>
      <c r="N5" s="5">
        <f>AVERAGE('Per-Request Data'!$E$47:$E$61)</f>
        <v>8.5050666666666661</v>
      </c>
      <c r="O5" s="5">
        <f>MEDIAN('Per-Request Data'!$E$47:$E$61)</f>
        <v>7.7629999999999999</v>
      </c>
      <c r="P5" s="5">
        <f>PERCENTILE('Per-Request Data'!$E$47:$E$61,0.95)</f>
        <v>12.9947</v>
      </c>
      <c r="Q5" s="5">
        <f>MIN('Per-Request Data'!$E$47:$E$61)</f>
        <v>5.4880000000000004</v>
      </c>
      <c r="R5" s="5">
        <f>MAX('Per-Request Data'!$E$47:$E$61)</f>
        <v>13.574999999999999</v>
      </c>
      <c r="S5" s="4" t="str">
        <f t="shared" si="0"/>
        <v>Not met</v>
      </c>
    </row>
    <row r="6" spans="1:19" x14ac:dyDescent="0.25">
      <c r="A6" s="2">
        <v>5</v>
      </c>
      <c r="B6" s="2" t="s">
        <v>9</v>
      </c>
      <c r="C6" s="2" t="s">
        <v>10</v>
      </c>
      <c r="D6" s="2" t="s">
        <v>15</v>
      </c>
      <c r="E6" s="3">
        <v>2.9409999999999998</v>
      </c>
      <c r="F6" s="2">
        <v>200</v>
      </c>
      <c r="G6" s="2" t="s">
        <v>10</v>
      </c>
      <c r="H6" s="2">
        <v>3</v>
      </c>
      <c r="I6" s="2">
        <v>587</v>
      </c>
      <c r="K6" s="7" t="s">
        <v>51</v>
      </c>
      <c r="L6" s="7" t="s">
        <v>53</v>
      </c>
      <c r="M6" s="7">
        <f>COUNT('Per-Request Data'!$E$2:$E$31)</f>
        <v>30</v>
      </c>
      <c r="N6" s="8">
        <f>AVERAGE('Per-Request Data'!$E$2:$E$31)</f>
        <v>2.8149333333333328</v>
      </c>
      <c r="O6" s="8">
        <f>MEDIAN('Per-Request Data'!$E$2:$E$31)</f>
        <v>2.4889999999999999</v>
      </c>
      <c r="P6" s="8">
        <f>PERCENTILE('Per-Request Data'!$E$2:$E$31,0.95)</f>
        <v>4.8532999999999999</v>
      </c>
      <c r="Q6" s="8">
        <f>MIN('Per-Request Data'!$E$2:$E$31)</f>
        <v>1.2110000000000001</v>
      </c>
      <c r="R6" s="8">
        <f>MAX('Per-Request Data'!$E$2:$E$31)</f>
        <v>7.5209999999999999</v>
      </c>
      <c r="S6" s="7" t="str">
        <f t="shared" si="0"/>
        <v>Met</v>
      </c>
    </row>
    <row r="7" spans="1:19" x14ac:dyDescent="0.25">
      <c r="A7" s="4">
        <v>6</v>
      </c>
      <c r="B7" s="4" t="s">
        <v>9</v>
      </c>
      <c r="C7" s="4" t="s">
        <v>10</v>
      </c>
      <c r="D7" s="4" t="s">
        <v>16</v>
      </c>
      <c r="E7" s="5">
        <v>2.141</v>
      </c>
      <c r="F7" s="4">
        <v>200</v>
      </c>
      <c r="G7" s="4" t="s">
        <v>10</v>
      </c>
      <c r="H7" s="4">
        <v>2</v>
      </c>
      <c r="I7" s="4">
        <v>731</v>
      </c>
      <c r="K7" s="7" t="s">
        <v>52</v>
      </c>
      <c r="L7" s="7" t="s">
        <v>53</v>
      </c>
      <c r="M7" s="7">
        <f>COUNT('Per-Request Data'!$E$32:$E$61)</f>
        <v>30</v>
      </c>
      <c r="N7" s="8">
        <f>AVERAGE('Per-Request Data'!$E$32:$E$61)</f>
        <v>6.0512333333333332</v>
      </c>
      <c r="O7" s="8">
        <f>MEDIAN('Per-Request Data'!$E$32:$E$61)</f>
        <v>4.9920000000000009</v>
      </c>
      <c r="P7" s="8">
        <f>PERCENTILE('Per-Request Data'!$E$32:$E$61,0.95)</f>
        <v>11.592649999999992</v>
      </c>
      <c r="Q7" s="8">
        <f>MIN('Per-Request Data'!$E$32:$E$61)</f>
        <v>2.2040000000000002</v>
      </c>
      <c r="R7" s="8">
        <f>MAX('Per-Request Data'!$E$32:$E$61)</f>
        <v>13.574999999999999</v>
      </c>
      <c r="S7" s="7" t="str">
        <f t="shared" si="0"/>
        <v>Met</v>
      </c>
    </row>
    <row r="8" spans="1:19" x14ac:dyDescent="0.25">
      <c r="A8" s="2">
        <v>7</v>
      </c>
      <c r="B8" s="2" t="s">
        <v>9</v>
      </c>
      <c r="C8" s="2" t="s">
        <v>10</v>
      </c>
      <c r="D8" s="2" t="s">
        <v>17</v>
      </c>
      <c r="E8" s="3">
        <v>2.3660000000000001</v>
      </c>
      <c r="F8" s="2">
        <v>200</v>
      </c>
      <c r="G8" s="2" t="s">
        <v>10</v>
      </c>
      <c r="H8" s="2">
        <v>2</v>
      </c>
      <c r="I8" s="2">
        <v>554</v>
      </c>
    </row>
    <row r="9" spans="1:19" x14ac:dyDescent="0.25">
      <c r="A9" s="4">
        <v>8</v>
      </c>
      <c r="B9" s="4" t="s">
        <v>9</v>
      </c>
      <c r="C9" s="4" t="s">
        <v>10</v>
      </c>
      <c r="D9" s="4" t="s">
        <v>18</v>
      </c>
      <c r="E9" s="5">
        <v>1.444</v>
      </c>
      <c r="F9" s="4">
        <v>200</v>
      </c>
      <c r="G9" s="4" t="s">
        <v>10</v>
      </c>
      <c r="H9" s="4">
        <v>3</v>
      </c>
      <c r="I9" s="4">
        <v>465</v>
      </c>
    </row>
    <row r="10" spans="1:19" x14ac:dyDescent="0.25">
      <c r="A10" s="2">
        <v>9</v>
      </c>
      <c r="B10" s="2" t="s">
        <v>9</v>
      </c>
      <c r="C10" s="2" t="s">
        <v>10</v>
      </c>
      <c r="D10" s="2" t="s">
        <v>19</v>
      </c>
      <c r="E10" s="3">
        <v>2.08</v>
      </c>
      <c r="F10" s="2">
        <v>200</v>
      </c>
      <c r="G10" s="2" t="s">
        <v>10</v>
      </c>
      <c r="H10" s="2">
        <v>2</v>
      </c>
      <c r="I10" s="2">
        <v>809</v>
      </c>
    </row>
    <row r="11" spans="1:19" x14ac:dyDescent="0.25">
      <c r="A11" s="4">
        <v>10</v>
      </c>
      <c r="B11" s="4" t="s">
        <v>9</v>
      </c>
      <c r="C11" s="4" t="s">
        <v>10</v>
      </c>
      <c r="D11" s="4" t="s">
        <v>20</v>
      </c>
      <c r="E11" s="5">
        <v>2.1720000000000002</v>
      </c>
      <c r="F11" s="4">
        <v>200</v>
      </c>
      <c r="G11" s="4" t="s">
        <v>10</v>
      </c>
      <c r="H11" s="4">
        <v>3</v>
      </c>
      <c r="I11" s="4">
        <v>634</v>
      </c>
    </row>
    <row r="12" spans="1:19" x14ac:dyDescent="0.25">
      <c r="A12" s="2">
        <v>11</v>
      </c>
      <c r="B12" s="2" t="s">
        <v>9</v>
      </c>
      <c r="C12" s="2" t="s">
        <v>10</v>
      </c>
      <c r="D12" s="2" t="s">
        <v>21</v>
      </c>
      <c r="E12" s="3">
        <v>1.9830000000000001</v>
      </c>
      <c r="F12" s="2">
        <v>200</v>
      </c>
      <c r="G12" s="2" t="s">
        <v>10</v>
      </c>
      <c r="H12" s="2">
        <v>2</v>
      </c>
      <c r="I12" s="2">
        <v>318</v>
      </c>
    </row>
    <row r="13" spans="1:19" x14ac:dyDescent="0.25">
      <c r="A13" s="4">
        <v>12</v>
      </c>
      <c r="B13" s="4" t="s">
        <v>9</v>
      </c>
      <c r="C13" s="4" t="s">
        <v>10</v>
      </c>
      <c r="D13" s="4" t="s">
        <v>22</v>
      </c>
      <c r="E13" s="5">
        <v>4.665</v>
      </c>
      <c r="F13" s="4">
        <v>200</v>
      </c>
      <c r="G13" s="4" t="s">
        <v>10</v>
      </c>
      <c r="H13" s="4">
        <v>2</v>
      </c>
      <c r="I13" s="4">
        <v>1241</v>
      </c>
    </row>
    <row r="14" spans="1:19" x14ac:dyDescent="0.25">
      <c r="A14" s="2">
        <v>13</v>
      </c>
      <c r="B14" s="2" t="s">
        <v>9</v>
      </c>
      <c r="C14" s="2" t="s">
        <v>10</v>
      </c>
      <c r="D14" s="2" t="s">
        <v>23</v>
      </c>
      <c r="E14" s="3">
        <v>1.6830000000000001</v>
      </c>
      <c r="F14" s="2">
        <v>200</v>
      </c>
      <c r="G14" s="2" t="s">
        <v>10</v>
      </c>
      <c r="H14" s="2">
        <v>3</v>
      </c>
      <c r="I14" s="2">
        <v>337</v>
      </c>
    </row>
    <row r="15" spans="1:19" x14ac:dyDescent="0.25">
      <c r="A15" s="4">
        <v>14</v>
      </c>
      <c r="B15" s="4" t="s">
        <v>9</v>
      </c>
      <c r="C15" s="4" t="s">
        <v>10</v>
      </c>
      <c r="D15" s="4" t="s">
        <v>24</v>
      </c>
      <c r="E15" s="5">
        <v>2.444</v>
      </c>
      <c r="F15" s="4">
        <v>200</v>
      </c>
      <c r="G15" s="4" t="s">
        <v>10</v>
      </c>
      <c r="H15" s="4">
        <v>2</v>
      </c>
      <c r="I15" s="4">
        <v>944</v>
      </c>
    </row>
    <row r="16" spans="1:19" x14ac:dyDescent="0.25">
      <c r="A16" s="2">
        <v>15</v>
      </c>
      <c r="B16" s="2" t="s">
        <v>9</v>
      </c>
      <c r="C16" s="2" t="s">
        <v>10</v>
      </c>
      <c r="D16" s="2" t="s">
        <v>25</v>
      </c>
      <c r="E16" s="3">
        <v>1.6910000000000001</v>
      </c>
      <c r="F16" s="2">
        <v>200</v>
      </c>
      <c r="G16" s="2" t="s">
        <v>10</v>
      </c>
      <c r="H16" s="2">
        <v>3</v>
      </c>
      <c r="I16" s="2">
        <v>512</v>
      </c>
    </row>
    <row r="17" spans="1:9" x14ac:dyDescent="0.25">
      <c r="A17" s="4">
        <v>16</v>
      </c>
      <c r="B17" s="4" t="s">
        <v>9</v>
      </c>
      <c r="C17" s="4" t="s">
        <v>26</v>
      </c>
      <c r="D17" s="4" t="s">
        <v>27</v>
      </c>
      <c r="E17" s="5">
        <v>1.9330000000000001</v>
      </c>
      <c r="F17" s="4">
        <v>200</v>
      </c>
      <c r="G17" s="4" t="s">
        <v>26</v>
      </c>
      <c r="H17" s="4">
        <v>2</v>
      </c>
      <c r="I17" s="4">
        <v>397</v>
      </c>
    </row>
    <row r="18" spans="1:9" x14ac:dyDescent="0.25">
      <c r="A18" s="2">
        <v>17</v>
      </c>
      <c r="B18" s="2" t="s">
        <v>9</v>
      </c>
      <c r="C18" s="2" t="s">
        <v>26</v>
      </c>
      <c r="D18" s="2" t="s">
        <v>28</v>
      </c>
      <c r="E18" s="3">
        <v>2.6779999999999999</v>
      </c>
      <c r="F18" s="2">
        <v>200</v>
      </c>
      <c r="G18" s="2" t="s">
        <v>26</v>
      </c>
      <c r="H18" s="2">
        <v>3</v>
      </c>
      <c r="I18" s="2">
        <v>399</v>
      </c>
    </row>
    <row r="19" spans="1:9" x14ac:dyDescent="0.25">
      <c r="A19" s="4">
        <v>18</v>
      </c>
      <c r="B19" s="4" t="s">
        <v>9</v>
      </c>
      <c r="C19" s="4" t="s">
        <v>26</v>
      </c>
      <c r="D19" s="4" t="s">
        <v>29</v>
      </c>
      <c r="E19" s="5">
        <v>3.4380000000000002</v>
      </c>
      <c r="F19" s="4">
        <v>200</v>
      </c>
      <c r="G19" s="4" t="s">
        <v>26</v>
      </c>
      <c r="H19" s="4">
        <v>3</v>
      </c>
      <c r="I19" s="4">
        <v>558</v>
      </c>
    </row>
    <row r="20" spans="1:9" x14ac:dyDescent="0.25">
      <c r="A20" s="2">
        <v>19</v>
      </c>
      <c r="B20" s="2" t="s">
        <v>9</v>
      </c>
      <c r="C20" s="2" t="s">
        <v>26</v>
      </c>
      <c r="D20" s="2" t="s">
        <v>30</v>
      </c>
      <c r="E20" s="3">
        <v>3.177</v>
      </c>
      <c r="F20" s="2">
        <v>200</v>
      </c>
      <c r="G20" s="2" t="s">
        <v>26</v>
      </c>
      <c r="H20" s="2">
        <v>1</v>
      </c>
      <c r="I20" s="2">
        <v>468</v>
      </c>
    </row>
    <row r="21" spans="1:9" x14ac:dyDescent="0.25">
      <c r="A21" s="4">
        <v>20</v>
      </c>
      <c r="B21" s="4" t="s">
        <v>9</v>
      </c>
      <c r="C21" s="4" t="s">
        <v>26</v>
      </c>
      <c r="D21" s="4" t="s">
        <v>31</v>
      </c>
      <c r="E21" s="5">
        <v>3.2509999999999999</v>
      </c>
      <c r="F21" s="4">
        <v>200</v>
      </c>
      <c r="G21" s="4" t="s">
        <v>26</v>
      </c>
      <c r="H21" s="4">
        <v>2</v>
      </c>
      <c r="I21" s="4">
        <v>570</v>
      </c>
    </row>
    <row r="22" spans="1:9" x14ac:dyDescent="0.25">
      <c r="A22" s="2">
        <v>21</v>
      </c>
      <c r="B22" s="2" t="s">
        <v>9</v>
      </c>
      <c r="C22" s="2" t="s">
        <v>26</v>
      </c>
      <c r="D22" s="2" t="s">
        <v>32</v>
      </c>
      <c r="E22" s="3">
        <v>2.988</v>
      </c>
      <c r="F22" s="2">
        <v>200</v>
      </c>
      <c r="G22" s="2" t="s">
        <v>26</v>
      </c>
      <c r="H22" s="2">
        <v>3</v>
      </c>
      <c r="I22" s="2">
        <v>503</v>
      </c>
    </row>
    <row r="23" spans="1:9" x14ac:dyDescent="0.25">
      <c r="A23" s="4">
        <v>22</v>
      </c>
      <c r="B23" s="4" t="s">
        <v>9</v>
      </c>
      <c r="C23" s="4" t="s">
        <v>26</v>
      </c>
      <c r="D23" s="4" t="s">
        <v>33</v>
      </c>
      <c r="E23" s="5">
        <v>2.359</v>
      </c>
      <c r="F23" s="4">
        <v>200</v>
      </c>
      <c r="G23" s="4" t="s">
        <v>26</v>
      </c>
      <c r="H23" s="4">
        <v>3</v>
      </c>
      <c r="I23" s="4">
        <v>404</v>
      </c>
    </row>
    <row r="24" spans="1:9" x14ac:dyDescent="0.25">
      <c r="A24" s="2">
        <v>23</v>
      </c>
      <c r="B24" s="2" t="s">
        <v>9</v>
      </c>
      <c r="C24" s="2" t="s">
        <v>26</v>
      </c>
      <c r="D24" s="2" t="s">
        <v>34</v>
      </c>
      <c r="E24" s="3">
        <v>1.738</v>
      </c>
      <c r="F24" s="2">
        <v>200</v>
      </c>
      <c r="G24" s="2" t="s">
        <v>26</v>
      </c>
      <c r="H24" s="2">
        <v>3</v>
      </c>
      <c r="I24" s="2">
        <v>465</v>
      </c>
    </row>
    <row r="25" spans="1:9" x14ac:dyDescent="0.25">
      <c r="A25" s="4">
        <v>24</v>
      </c>
      <c r="B25" s="4" t="s">
        <v>9</v>
      </c>
      <c r="C25" s="4" t="s">
        <v>26</v>
      </c>
      <c r="D25" s="4" t="s">
        <v>35</v>
      </c>
      <c r="E25" s="5">
        <v>7.5209999999999999</v>
      </c>
      <c r="F25" s="4">
        <v>200</v>
      </c>
      <c r="G25" s="4" t="s">
        <v>26</v>
      </c>
      <c r="H25" s="4">
        <v>3</v>
      </c>
      <c r="I25" s="4">
        <v>1066</v>
      </c>
    </row>
    <row r="26" spans="1:9" x14ac:dyDescent="0.25">
      <c r="A26" s="2">
        <v>25</v>
      </c>
      <c r="B26" s="2" t="s">
        <v>9</v>
      </c>
      <c r="C26" s="2" t="s">
        <v>26</v>
      </c>
      <c r="D26" s="2" t="s">
        <v>36</v>
      </c>
      <c r="E26" s="3">
        <v>4.7949999999999999</v>
      </c>
      <c r="F26" s="2">
        <v>200</v>
      </c>
      <c r="G26" s="2" t="s">
        <v>26</v>
      </c>
      <c r="H26" s="2">
        <v>3</v>
      </c>
      <c r="I26" s="2">
        <v>751</v>
      </c>
    </row>
    <row r="27" spans="1:9" x14ac:dyDescent="0.25">
      <c r="A27" s="4">
        <v>26</v>
      </c>
      <c r="B27" s="4" t="s">
        <v>9</v>
      </c>
      <c r="C27" s="4" t="s">
        <v>26</v>
      </c>
      <c r="D27" s="4" t="s">
        <v>37</v>
      </c>
      <c r="E27" s="5">
        <v>2.5339999999999998</v>
      </c>
      <c r="F27" s="4">
        <v>200</v>
      </c>
      <c r="G27" s="4" t="s">
        <v>26</v>
      </c>
      <c r="H27" s="4">
        <v>3</v>
      </c>
      <c r="I27" s="4">
        <v>428</v>
      </c>
    </row>
    <row r="28" spans="1:9" x14ac:dyDescent="0.25">
      <c r="A28" s="2">
        <v>27</v>
      </c>
      <c r="B28" s="2" t="s">
        <v>9</v>
      </c>
      <c r="C28" s="2" t="s">
        <v>26</v>
      </c>
      <c r="D28" s="2" t="s">
        <v>38</v>
      </c>
      <c r="E28" s="3">
        <v>4.9009999999999998</v>
      </c>
      <c r="F28" s="2">
        <v>200</v>
      </c>
      <c r="G28" s="2" t="s">
        <v>26</v>
      </c>
      <c r="H28" s="2">
        <v>3</v>
      </c>
      <c r="I28" s="2">
        <v>759</v>
      </c>
    </row>
    <row r="29" spans="1:9" x14ac:dyDescent="0.25">
      <c r="A29" s="4">
        <v>28</v>
      </c>
      <c r="B29" s="4" t="s">
        <v>9</v>
      </c>
      <c r="C29" s="4" t="s">
        <v>26</v>
      </c>
      <c r="D29" s="4" t="s">
        <v>39</v>
      </c>
      <c r="E29" s="5">
        <v>3.2549999999999999</v>
      </c>
      <c r="F29" s="4">
        <v>200</v>
      </c>
      <c r="G29" s="4" t="s">
        <v>26</v>
      </c>
      <c r="H29" s="4">
        <v>2</v>
      </c>
      <c r="I29" s="4">
        <v>503</v>
      </c>
    </row>
    <row r="30" spans="1:9" x14ac:dyDescent="0.25">
      <c r="A30" s="2">
        <v>29</v>
      </c>
      <c r="B30" s="2" t="s">
        <v>9</v>
      </c>
      <c r="C30" s="2" t="s">
        <v>26</v>
      </c>
      <c r="D30" s="2" t="s">
        <v>40</v>
      </c>
      <c r="E30" s="3">
        <v>3.0609999999999999</v>
      </c>
      <c r="F30" s="2">
        <v>200</v>
      </c>
      <c r="G30" s="2" t="s">
        <v>26</v>
      </c>
      <c r="H30" s="2">
        <v>2</v>
      </c>
      <c r="I30" s="2">
        <v>574</v>
      </c>
    </row>
    <row r="31" spans="1:9" x14ac:dyDescent="0.25">
      <c r="A31" s="4">
        <v>30</v>
      </c>
      <c r="B31" s="4" t="s">
        <v>9</v>
      </c>
      <c r="C31" s="4" t="s">
        <v>26</v>
      </c>
      <c r="D31" s="4" t="s">
        <v>41</v>
      </c>
      <c r="E31" s="5">
        <v>3.8559999999999999</v>
      </c>
      <c r="F31" s="4">
        <v>200</v>
      </c>
      <c r="G31" s="4" t="s">
        <v>26</v>
      </c>
      <c r="H31" s="4">
        <v>3</v>
      </c>
      <c r="I31" s="4">
        <v>710</v>
      </c>
    </row>
    <row r="32" spans="1:9" x14ac:dyDescent="0.25">
      <c r="A32" s="2">
        <v>31</v>
      </c>
      <c r="B32" s="2" t="s">
        <v>42</v>
      </c>
      <c r="C32" s="2" t="s">
        <v>10</v>
      </c>
      <c r="D32" s="2" t="s">
        <v>11</v>
      </c>
      <c r="E32" s="3">
        <v>2.2040000000000002</v>
      </c>
      <c r="F32" s="2">
        <v>200</v>
      </c>
      <c r="G32" s="2" t="s">
        <v>10</v>
      </c>
      <c r="H32" s="2">
        <v>2</v>
      </c>
      <c r="I32" s="2">
        <v>333</v>
      </c>
    </row>
    <row r="33" spans="1:9" x14ac:dyDescent="0.25">
      <c r="A33" s="4">
        <v>32</v>
      </c>
      <c r="B33" s="4" t="s">
        <v>42</v>
      </c>
      <c r="C33" s="4" t="s">
        <v>10</v>
      </c>
      <c r="D33" s="4" t="s">
        <v>12</v>
      </c>
      <c r="E33" s="5">
        <v>3.2389999999999999</v>
      </c>
      <c r="F33" s="4">
        <v>200</v>
      </c>
      <c r="G33" s="4" t="s">
        <v>10</v>
      </c>
      <c r="H33" s="4">
        <v>3</v>
      </c>
      <c r="I33" s="4">
        <v>345</v>
      </c>
    </row>
    <row r="34" spans="1:9" x14ac:dyDescent="0.25">
      <c r="A34" s="2">
        <v>33</v>
      </c>
      <c r="B34" s="2" t="s">
        <v>42</v>
      </c>
      <c r="C34" s="2" t="s">
        <v>10</v>
      </c>
      <c r="D34" s="2" t="s">
        <v>13</v>
      </c>
      <c r="E34" s="3">
        <v>4.0949999999999998</v>
      </c>
      <c r="F34" s="2">
        <v>200</v>
      </c>
      <c r="G34" s="2" t="s">
        <v>10</v>
      </c>
      <c r="H34" s="2">
        <v>3</v>
      </c>
      <c r="I34" s="2">
        <v>535</v>
      </c>
    </row>
    <row r="35" spans="1:9" x14ac:dyDescent="0.25">
      <c r="A35" s="4">
        <v>34</v>
      </c>
      <c r="B35" s="4" t="s">
        <v>42</v>
      </c>
      <c r="C35" s="4" t="s">
        <v>10</v>
      </c>
      <c r="D35" s="4" t="s">
        <v>14</v>
      </c>
      <c r="E35" s="5">
        <v>3.8069999999999999</v>
      </c>
      <c r="F35" s="4">
        <v>200</v>
      </c>
      <c r="G35" s="4" t="s">
        <v>10</v>
      </c>
      <c r="H35" s="4">
        <v>1</v>
      </c>
      <c r="I35" s="4">
        <v>453</v>
      </c>
    </row>
    <row r="36" spans="1:9" x14ac:dyDescent="0.25">
      <c r="A36" s="2">
        <v>35</v>
      </c>
      <c r="B36" s="2" t="s">
        <v>42</v>
      </c>
      <c r="C36" s="2" t="s">
        <v>10</v>
      </c>
      <c r="D36" s="2" t="s">
        <v>15</v>
      </c>
      <c r="E36" s="3">
        <v>3.8130000000000002</v>
      </c>
      <c r="F36" s="2">
        <v>200</v>
      </c>
      <c r="G36" s="2" t="s">
        <v>10</v>
      </c>
      <c r="H36" s="2">
        <v>3</v>
      </c>
      <c r="I36" s="2">
        <v>469</v>
      </c>
    </row>
    <row r="37" spans="1:9" x14ac:dyDescent="0.25">
      <c r="A37" s="4">
        <v>36</v>
      </c>
      <c r="B37" s="4" t="s">
        <v>42</v>
      </c>
      <c r="C37" s="4" t="s">
        <v>10</v>
      </c>
      <c r="D37" s="4" t="s">
        <v>16</v>
      </c>
      <c r="E37" s="5">
        <v>3.5150000000000001</v>
      </c>
      <c r="F37" s="4">
        <v>200</v>
      </c>
      <c r="G37" s="4" t="s">
        <v>10</v>
      </c>
      <c r="H37" s="4">
        <v>2</v>
      </c>
      <c r="I37" s="4">
        <v>464</v>
      </c>
    </row>
    <row r="38" spans="1:9" x14ac:dyDescent="0.25">
      <c r="A38" s="2">
        <v>37</v>
      </c>
      <c r="B38" s="2" t="s">
        <v>42</v>
      </c>
      <c r="C38" s="2" t="s">
        <v>10</v>
      </c>
      <c r="D38" s="2" t="s">
        <v>17</v>
      </c>
      <c r="E38" s="3">
        <v>3.4590000000000001</v>
      </c>
      <c r="F38" s="2">
        <v>200</v>
      </c>
      <c r="G38" s="2" t="s">
        <v>10</v>
      </c>
      <c r="H38" s="2">
        <v>2</v>
      </c>
      <c r="I38" s="2">
        <v>372</v>
      </c>
    </row>
    <row r="39" spans="1:9" x14ac:dyDescent="0.25">
      <c r="A39" s="4">
        <v>38</v>
      </c>
      <c r="B39" s="4" t="s">
        <v>42</v>
      </c>
      <c r="C39" s="4" t="s">
        <v>10</v>
      </c>
      <c r="D39" s="4" t="s">
        <v>18</v>
      </c>
      <c r="E39" s="5">
        <v>3.524</v>
      </c>
      <c r="F39" s="4">
        <v>200</v>
      </c>
      <c r="G39" s="4" t="s">
        <v>10</v>
      </c>
      <c r="H39" s="4">
        <v>3</v>
      </c>
      <c r="I39" s="4">
        <v>364</v>
      </c>
    </row>
    <row r="40" spans="1:9" x14ac:dyDescent="0.25">
      <c r="A40" s="2">
        <v>39</v>
      </c>
      <c r="B40" s="2" t="s">
        <v>42</v>
      </c>
      <c r="C40" s="2" t="s">
        <v>10</v>
      </c>
      <c r="D40" s="2" t="s">
        <v>19</v>
      </c>
      <c r="E40" s="3">
        <v>4.2</v>
      </c>
      <c r="F40" s="2">
        <v>200</v>
      </c>
      <c r="G40" s="2" t="s">
        <v>10</v>
      </c>
      <c r="H40" s="2">
        <v>2</v>
      </c>
      <c r="I40" s="2">
        <v>899</v>
      </c>
    </row>
    <row r="41" spans="1:9" x14ac:dyDescent="0.25">
      <c r="A41" s="4">
        <v>40</v>
      </c>
      <c r="B41" s="4" t="s">
        <v>42</v>
      </c>
      <c r="C41" s="4" t="s">
        <v>10</v>
      </c>
      <c r="D41" s="4" t="s">
        <v>20</v>
      </c>
      <c r="E41" s="5">
        <v>3.2389999999999999</v>
      </c>
      <c r="F41" s="4">
        <v>200</v>
      </c>
      <c r="G41" s="4" t="s">
        <v>10</v>
      </c>
      <c r="H41" s="4">
        <v>3</v>
      </c>
      <c r="I41" s="4">
        <v>370</v>
      </c>
    </row>
    <row r="42" spans="1:9" x14ac:dyDescent="0.25">
      <c r="A42" s="2">
        <v>41</v>
      </c>
      <c r="B42" s="2" t="s">
        <v>42</v>
      </c>
      <c r="C42" s="2" t="s">
        <v>10</v>
      </c>
      <c r="D42" s="2" t="s">
        <v>21</v>
      </c>
      <c r="E42" s="3">
        <v>3.35</v>
      </c>
      <c r="F42" s="2">
        <v>200</v>
      </c>
      <c r="G42" s="2" t="s">
        <v>10</v>
      </c>
      <c r="H42" s="2">
        <v>2</v>
      </c>
      <c r="I42" s="2">
        <v>359</v>
      </c>
    </row>
    <row r="43" spans="1:9" x14ac:dyDescent="0.25">
      <c r="A43" s="4">
        <v>42</v>
      </c>
      <c r="B43" s="4" t="s">
        <v>42</v>
      </c>
      <c r="C43" s="4" t="s">
        <v>10</v>
      </c>
      <c r="D43" s="4" t="s">
        <v>22</v>
      </c>
      <c r="E43" s="5">
        <v>4.4960000000000004</v>
      </c>
      <c r="F43" s="4">
        <v>200</v>
      </c>
      <c r="G43" s="4" t="s">
        <v>10</v>
      </c>
      <c r="H43" s="4">
        <v>2</v>
      </c>
      <c r="I43" s="4">
        <v>694</v>
      </c>
    </row>
    <row r="44" spans="1:9" x14ac:dyDescent="0.25">
      <c r="A44" s="2">
        <v>43</v>
      </c>
      <c r="B44" s="2" t="s">
        <v>42</v>
      </c>
      <c r="C44" s="2" t="s">
        <v>10</v>
      </c>
      <c r="D44" s="2" t="s">
        <v>23</v>
      </c>
      <c r="E44" s="3">
        <v>3.3740000000000001</v>
      </c>
      <c r="F44" s="2">
        <v>200</v>
      </c>
      <c r="G44" s="2" t="s">
        <v>10</v>
      </c>
      <c r="H44" s="2">
        <v>3</v>
      </c>
      <c r="I44" s="2">
        <v>379</v>
      </c>
    </row>
    <row r="45" spans="1:9" x14ac:dyDescent="0.25">
      <c r="A45" s="4">
        <v>44</v>
      </c>
      <c r="B45" s="4" t="s">
        <v>42</v>
      </c>
      <c r="C45" s="4" t="s">
        <v>10</v>
      </c>
      <c r="D45" s="4" t="s">
        <v>24</v>
      </c>
      <c r="E45" s="5">
        <v>3.9630000000000001</v>
      </c>
      <c r="F45" s="4">
        <v>200</v>
      </c>
      <c r="G45" s="4" t="s">
        <v>10</v>
      </c>
      <c r="H45" s="4">
        <v>2</v>
      </c>
      <c r="I45" s="4">
        <v>604</v>
      </c>
    </row>
    <row r="46" spans="1:9" x14ac:dyDescent="0.25">
      <c r="A46" s="2">
        <v>45</v>
      </c>
      <c r="B46" s="2" t="s">
        <v>42</v>
      </c>
      <c r="C46" s="2" t="s">
        <v>10</v>
      </c>
      <c r="D46" s="2" t="s">
        <v>25</v>
      </c>
      <c r="E46" s="3">
        <v>3.6829999999999998</v>
      </c>
      <c r="F46" s="2">
        <v>200</v>
      </c>
      <c r="G46" s="2" t="s">
        <v>10</v>
      </c>
      <c r="H46" s="2">
        <v>3</v>
      </c>
      <c r="I46" s="2">
        <v>491</v>
      </c>
    </row>
    <row r="47" spans="1:9" x14ac:dyDescent="0.25">
      <c r="A47" s="4">
        <v>46</v>
      </c>
      <c r="B47" s="4" t="s">
        <v>42</v>
      </c>
      <c r="C47" s="4" t="s">
        <v>26</v>
      </c>
      <c r="D47" s="4" t="s">
        <v>27</v>
      </c>
      <c r="E47" s="5">
        <v>7.7629999999999999</v>
      </c>
      <c r="F47" s="4">
        <v>200</v>
      </c>
      <c r="G47" s="4" t="s">
        <v>26</v>
      </c>
      <c r="H47" s="4">
        <v>2</v>
      </c>
      <c r="I47" s="4">
        <v>393</v>
      </c>
    </row>
    <row r="48" spans="1:9" x14ac:dyDescent="0.25">
      <c r="A48" s="2">
        <v>47</v>
      </c>
      <c r="B48" s="2" t="s">
        <v>42</v>
      </c>
      <c r="C48" s="2" t="s">
        <v>26</v>
      </c>
      <c r="D48" s="2" t="s">
        <v>28</v>
      </c>
      <c r="E48" s="3">
        <v>7.0469999999999997</v>
      </c>
      <c r="F48" s="2">
        <v>200</v>
      </c>
      <c r="G48" s="2" t="s">
        <v>26</v>
      </c>
      <c r="H48" s="2">
        <v>3</v>
      </c>
      <c r="I48" s="2">
        <v>332</v>
      </c>
    </row>
    <row r="49" spans="1:9" x14ac:dyDescent="0.25">
      <c r="A49" s="4">
        <v>48</v>
      </c>
      <c r="B49" s="4" t="s">
        <v>42</v>
      </c>
      <c r="C49" s="4" t="s">
        <v>26</v>
      </c>
      <c r="D49" s="4" t="s">
        <v>29</v>
      </c>
      <c r="E49" s="5">
        <v>10.15</v>
      </c>
      <c r="F49" s="4">
        <v>200</v>
      </c>
      <c r="G49" s="4" t="s">
        <v>26</v>
      </c>
      <c r="H49" s="4">
        <v>3</v>
      </c>
      <c r="I49" s="4">
        <v>685</v>
      </c>
    </row>
    <row r="50" spans="1:9" x14ac:dyDescent="0.25">
      <c r="A50" s="2">
        <v>49</v>
      </c>
      <c r="B50" s="2" t="s">
        <v>42</v>
      </c>
      <c r="C50" s="2" t="s">
        <v>26</v>
      </c>
      <c r="D50" s="2" t="s">
        <v>30</v>
      </c>
      <c r="E50" s="3">
        <v>7.3520000000000003</v>
      </c>
      <c r="F50" s="2">
        <v>200</v>
      </c>
      <c r="G50" s="2" t="s">
        <v>26</v>
      </c>
      <c r="H50" s="2">
        <v>1</v>
      </c>
      <c r="I50" s="2">
        <v>335</v>
      </c>
    </row>
    <row r="51" spans="1:9" x14ac:dyDescent="0.25">
      <c r="A51" s="4">
        <v>50</v>
      </c>
      <c r="B51" s="4" t="s">
        <v>42</v>
      </c>
      <c r="C51" s="4" t="s">
        <v>26</v>
      </c>
      <c r="D51" s="4" t="s">
        <v>31</v>
      </c>
      <c r="E51" s="5">
        <v>10.183</v>
      </c>
      <c r="F51" s="4">
        <v>200</v>
      </c>
      <c r="G51" s="4" t="s">
        <v>26</v>
      </c>
      <c r="H51" s="4">
        <v>2</v>
      </c>
      <c r="I51" s="4">
        <v>677</v>
      </c>
    </row>
    <row r="52" spans="1:9" x14ac:dyDescent="0.25">
      <c r="A52" s="2">
        <v>51</v>
      </c>
      <c r="B52" s="2" t="s">
        <v>42</v>
      </c>
      <c r="C52" s="2" t="s">
        <v>26</v>
      </c>
      <c r="D52" s="2" t="s">
        <v>32</v>
      </c>
      <c r="E52" s="3">
        <v>13.574999999999999</v>
      </c>
      <c r="F52" s="2">
        <v>200</v>
      </c>
      <c r="G52" s="2" t="s">
        <v>26</v>
      </c>
      <c r="H52" s="2">
        <v>3</v>
      </c>
      <c r="I52" s="2">
        <v>1008</v>
      </c>
    </row>
    <row r="53" spans="1:9" x14ac:dyDescent="0.25">
      <c r="A53" s="4">
        <v>52</v>
      </c>
      <c r="B53" s="4" t="s">
        <v>42</v>
      </c>
      <c r="C53" s="4" t="s">
        <v>26</v>
      </c>
      <c r="D53" s="4" t="s">
        <v>33</v>
      </c>
      <c r="E53" s="5">
        <v>8.3000000000000007</v>
      </c>
      <c r="F53" s="4">
        <v>200</v>
      </c>
      <c r="G53" s="4" t="s">
        <v>26</v>
      </c>
      <c r="H53" s="4">
        <v>3</v>
      </c>
      <c r="I53" s="4">
        <v>426</v>
      </c>
    </row>
    <row r="54" spans="1:9" x14ac:dyDescent="0.25">
      <c r="A54" s="2">
        <v>53</v>
      </c>
      <c r="B54" s="2" t="s">
        <v>42</v>
      </c>
      <c r="C54" s="2" t="s">
        <v>26</v>
      </c>
      <c r="D54" s="2" t="s">
        <v>34</v>
      </c>
      <c r="E54" s="3">
        <v>7.4950000000000001</v>
      </c>
      <c r="F54" s="2">
        <v>200</v>
      </c>
      <c r="G54" s="2" t="s">
        <v>26</v>
      </c>
      <c r="H54" s="2">
        <v>3</v>
      </c>
      <c r="I54" s="2">
        <v>366</v>
      </c>
    </row>
    <row r="55" spans="1:9" x14ac:dyDescent="0.25">
      <c r="A55" s="4">
        <v>54</v>
      </c>
      <c r="B55" s="4" t="s">
        <v>42</v>
      </c>
      <c r="C55" s="4" t="s">
        <v>26</v>
      </c>
      <c r="D55" s="4" t="s">
        <v>35</v>
      </c>
      <c r="E55" s="5">
        <v>12.746</v>
      </c>
      <c r="F55" s="4">
        <v>200</v>
      </c>
      <c r="G55" s="4" t="s">
        <v>26</v>
      </c>
      <c r="H55" s="4">
        <v>3</v>
      </c>
      <c r="I55" s="4">
        <v>1192</v>
      </c>
    </row>
    <row r="56" spans="1:9" x14ac:dyDescent="0.25">
      <c r="A56" s="2">
        <v>55</v>
      </c>
      <c r="B56" s="2" t="s">
        <v>42</v>
      </c>
      <c r="C56" s="2" t="s">
        <v>26</v>
      </c>
      <c r="D56" s="2" t="s">
        <v>36</v>
      </c>
      <c r="E56" s="3">
        <v>6.899</v>
      </c>
      <c r="F56" s="2">
        <v>200</v>
      </c>
      <c r="G56" s="2" t="s">
        <v>26</v>
      </c>
      <c r="H56" s="2">
        <v>3</v>
      </c>
      <c r="I56" s="2">
        <v>290</v>
      </c>
    </row>
    <row r="57" spans="1:9" x14ac:dyDescent="0.25">
      <c r="A57" s="4">
        <v>56</v>
      </c>
      <c r="B57" s="4" t="s">
        <v>42</v>
      </c>
      <c r="C57" s="4" t="s">
        <v>26</v>
      </c>
      <c r="D57" s="4" t="s">
        <v>37</v>
      </c>
      <c r="E57" s="5">
        <v>6.2960000000000003</v>
      </c>
      <c r="F57" s="4">
        <v>200</v>
      </c>
      <c r="G57" s="4" t="s">
        <v>26</v>
      </c>
      <c r="H57" s="4">
        <v>3</v>
      </c>
      <c r="I57" s="4">
        <v>268</v>
      </c>
    </row>
    <row r="58" spans="1:9" x14ac:dyDescent="0.25">
      <c r="A58" s="2">
        <v>57</v>
      </c>
      <c r="B58" s="2" t="s">
        <v>42</v>
      </c>
      <c r="C58" s="2" t="s">
        <v>26</v>
      </c>
      <c r="D58" s="2" t="s">
        <v>38</v>
      </c>
      <c r="E58" s="3">
        <v>5.4880000000000004</v>
      </c>
      <c r="F58" s="2">
        <v>200</v>
      </c>
      <c r="G58" s="2" t="s">
        <v>26</v>
      </c>
      <c r="H58" s="2">
        <v>3</v>
      </c>
      <c r="I58" s="2">
        <v>155</v>
      </c>
    </row>
    <row r="59" spans="1:9" x14ac:dyDescent="0.25">
      <c r="A59" s="4">
        <v>58</v>
      </c>
      <c r="B59" s="4" t="s">
        <v>42</v>
      </c>
      <c r="C59" s="4" t="s">
        <v>26</v>
      </c>
      <c r="D59" s="4" t="s">
        <v>39</v>
      </c>
      <c r="E59" s="5">
        <v>7.1639999999999997</v>
      </c>
      <c r="F59" s="4">
        <v>200</v>
      </c>
      <c r="G59" s="4" t="s">
        <v>26</v>
      </c>
      <c r="H59" s="4">
        <v>2</v>
      </c>
      <c r="I59" s="4">
        <v>363</v>
      </c>
    </row>
    <row r="60" spans="1:9" x14ac:dyDescent="0.25">
      <c r="A60" s="2">
        <v>59</v>
      </c>
      <c r="B60" s="2" t="s">
        <v>42</v>
      </c>
      <c r="C60" s="2" t="s">
        <v>26</v>
      </c>
      <c r="D60" s="2" t="s">
        <v>40</v>
      </c>
      <c r="E60" s="3">
        <v>8.2729999999999997</v>
      </c>
      <c r="F60" s="2">
        <v>200</v>
      </c>
      <c r="G60" s="2" t="s">
        <v>26</v>
      </c>
      <c r="H60" s="2">
        <v>2</v>
      </c>
      <c r="I60" s="2">
        <v>477</v>
      </c>
    </row>
    <row r="61" spans="1:9" x14ac:dyDescent="0.25">
      <c r="A61" s="4">
        <v>60</v>
      </c>
      <c r="B61" s="4" t="s">
        <v>42</v>
      </c>
      <c r="C61" s="4" t="s">
        <v>26</v>
      </c>
      <c r="D61" s="4" t="s">
        <v>41</v>
      </c>
      <c r="E61" s="5">
        <v>8.8450000000000006</v>
      </c>
      <c r="F61" s="4">
        <v>200</v>
      </c>
      <c r="G61" s="4" t="s">
        <v>26</v>
      </c>
      <c r="H61" s="4">
        <v>3</v>
      </c>
      <c r="I61" s="4">
        <v>542</v>
      </c>
    </row>
    <row r="63" spans="1:9" x14ac:dyDescent="0.25">
      <c r="A63" s="6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70" zoomScaleNormal="70" workbookViewId="0">
      <selection activeCell="G15" sqref="G15"/>
    </sheetView>
  </sheetViews>
  <sheetFormatPr defaultRowHeight="15" x14ac:dyDescent="0.25"/>
  <cols>
    <col min="1" max="1" width="24" customWidth="1"/>
    <col min="2" max="2" width="10" customWidth="1"/>
    <col min="3" max="3" width="6" customWidth="1"/>
    <col min="4" max="4" width="10" customWidth="1"/>
    <col min="5" max="5" width="11" customWidth="1"/>
    <col min="6" max="6" width="16" customWidth="1"/>
    <col min="7" max="8" width="9" customWidth="1"/>
    <col min="9" max="9" width="14" customWidth="1"/>
  </cols>
  <sheetData>
    <row r="1" spans="1:9" ht="30" x14ac:dyDescent="0.25">
      <c r="A1" s="1" t="s">
        <v>1</v>
      </c>
      <c r="B1" s="1" t="s">
        <v>2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25">
      <c r="A2" s="4" t="s">
        <v>51</v>
      </c>
      <c r="B2" s="4" t="s">
        <v>10</v>
      </c>
      <c r="C2" s="4">
        <f>COUNT('Per-Request Data'!$E$2:$E$16)</f>
        <v>15</v>
      </c>
      <c r="D2" s="5">
        <f>AVERAGE('Per-Request Data'!$E$2:$E$16)</f>
        <v>2.1975333333333333</v>
      </c>
      <c r="E2" s="5">
        <f>MEDIAN('Per-Request Data'!$E$2:$E$16)</f>
        <v>2.08</v>
      </c>
      <c r="F2" s="5">
        <f>PERCENTILE('Per-Request Data'!$E$2:$E$16,0.95)</f>
        <v>3.4581999999999979</v>
      </c>
      <c r="G2" s="5">
        <f>MIN('Per-Request Data'!$E$2:$E$16)</f>
        <v>1.2110000000000001</v>
      </c>
      <c r="H2" s="5">
        <f>MAX('Per-Request Data'!$E$2:$E$16)</f>
        <v>4.665</v>
      </c>
      <c r="I2" s="4" t="str">
        <f t="shared" ref="I2:I7" si="0">IF(D2&lt;8,"Met","Not met")</f>
        <v>Met</v>
      </c>
    </row>
    <row r="3" spans="1:9" x14ac:dyDescent="0.25">
      <c r="A3" s="4" t="s">
        <v>51</v>
      </c>
      <c r="B3" s="4" t="s">
        <v>26</v>
      </c>
      <c r="C3" s="4">
        <f>COUNT('Per-Request Data'!$E$17:$E$31)</f>
        <v>15</v>
      </c>
      <c r="D3" s="5">
        <f>AVERAGE('Per-Request Data'!$E$17:$E$31)</f>
        <v>3.4323333333333337</v>
      </c>
      <c r="E3" s="5">
        <f>MEDIAN('Per-Request Data'!$E$17:$E$31)</f>
        <v>3.177</v>
      </c>
      <c r="F3" s="5">
        <f>PERCENTILE('Per-Request Data'!$E$17:$E$31,0.95)</f>
        <v>5.6869999999999967</v>
      </c>
      <c r="G3" s="5">
        <f>MIN('Per-Request Data'!$E$17:$E$31)</f>
        <v>1.738</v>
      </c>
      <c r="H3" s="5">
        <f>MAX('Per-Request Data'!$E$17:$E$31)</f>
        <v>7.5209999999999999</v>
      </c>
      <c r="I3" s="4" t="str">
        <f t="shared" si="0"/>
        <v>Met</v>
      </c>
    </row>
    <row r="4" spans="1:9" x14ac:dyDescent="0.25">
      <c r="A4" s="4" t="s">
        <v>52</v>
      </c>
      <c r="B4" s="4" t="s">
        <v>10</v>
      </c>
      <c r="C4" s="4">
        <f>COUNT('Per-Request Data'!$E$32:$E$46)</f>
        <v>15</v>
      </c>
      <c r="D4" s="5">
        <f>AVERAGE('Per-Request Data'!$E$32:$E$46)</f>
        <v>3.5974000000000004</v>
      </c>
      <c r="E4" s="5">
        <f>MEDIAN('Per-Request Data'!$E$32:$E$46)</f>
        <v>3.524</v>
      </c>
      <c r="F4" s="5">
        <f>PERCENTILE('Per-Request Data'!$E$32:$E$46,0.95)</f>
        <v>4.2888000000000002</v>
      </c>
      <c r="G4" s="5">
        <f>MIN('Per-Request Data'!$E$32:$E$46)</f>
        <v>2.2040000000000002</v>
      </c>
      <c r="H4" s="5">
        <f>MAX('Per-Request Data'!$E$32:$E$46)</f>
        <v>4.4960000000000004</v>
      </c>
      <c r="I4" s="4" t="str">
        <f t="shared" si="0"/>
        <v>Met</v>
      </c>
    </row>
    <row r="5" spans="1:9" x14ac:dyDescent="0.25">
      <c r="A5" s="4" t="s">
        <v>52</v>
      </c>
      <c r="B5" s="4" t="s">
        <v>26</v>
      </c>
      <c r="C5" s="4">
        <f>COUNT('Per-Request Data'!$E$47:$E$61)</f>
        <v>15</v>
      </c>
      <c r="D5" s="5">
        <f>AVERAGE('Per-Request Data'!$E$47:$E$61)</f>
        <v>8.5050666666666661</v>
      </c>
      <c r="E5" s="5">
        <f>MEDIAN('Per-Request Data'!$E$47:$E$61)</f>
        <v>7.7629999999999999</v>
      </c>
      <c r="F5" s="5">
        <f>PERCENTILE('Per-Request Data'!$E$47:$E$61,0.95)</f>
        <v>12.9947</v>
      </c>
      <c r="G5" s="5">
        <f>MIN('Per-Request Data'!$E$47:$E$61)</f>
        <v>5.4880000000000004</v>
      </c>
      <c r="H5" s="5">
        <f>MAX('Per-Request Data'!$E$47:$E$61)</f>
        <v>13.574999999999999</v>
      </c>
      <c r="I5" s="4" t="str">
        <f t="shared" si="0"/>
        <v>Not met</v>
      </c>
    </row>
    <row r="6" spans="1:9" x14ac:dyDescent="0.25">
      <c r="A6" s="7" t="s">
        <v>51</v>
      </c>
      <c r="B6" s="7" t="s">
        <v>53</v>
      </c>
      <c r="C6" s="7">
        <f>COUNT('Per-Request Data'!$E$2:$E$31)</f>
        <v>30</v>
      </c>
      <c r="D6" s="8">
        <f>AVERAGE('Per-Request Data'!$E$2:$E$31)</f>
        <v>2.8149333333333328</v>
      </c>
      <c r="E6" s="8">
        <f>MEDIAN('Per-Request Data'!$E$2:$E$31)</f>
        <v>2.4889999999999999</v>
      </c>
      <c r="F6" s="8">
        <f>PERCENTILE('Per-Request Data'!$E$2:$E$31,0.95)</f>
        <v>4.8532999999999999</v>
      </c>
      <c r="G6" s="8">
        <f>MIN('Per-Request Data'!$E$2:$E$31)</f>
        <v>1.2110000000000001</v>
      </c>
      <c r="H6" s="8">
        <f>MAX('Per-Request Data'!$E$2:$E$31)</f>
        <v>7.5209999999999999</v>
      </c>
      <c r="I6" s="7" t="str">
        <f t="shared" si="0"/>
        <v>Met</v>
      </c>
    </row>
    <row r="7" spans="1:9" x14ac:dyDescent="0.25">
      <c r="A7" s="7" t="s">
        <v>52</v>
      </c>
      <c r="B7" s="7" t="s">
        <v>53</v>
      </c>
      <c r="C7" s="7">
        <f>COUNT('Per-Request Data'!$E$32:$E$61)</f>
        <v>30</v>
      </c>
      <c r="D7" s="8">
        <f>AVERAGE('Per-Request Data'!$E$32:$E$61)</f>
        <v>6.0512333333333332</v>
      </c>
      <c r="E7" s="8">
        <f>MEDIAN('Per-Request Data'!$E$32:$E$61)</f>
        <v>4.9920000000000009</v>
      </c>
      <c r="F7" s="8">
        <f>PERCENTILE('Per-Request Data'!$E$32:$E$61,0.95)</f>
        <v>11.592649999999992</v>
      </c>
      <c r="G7" s="8">
        <f>MIN('Per-Request Data'!$E$32:$E$61)</f>
        <v>2.2040000000000002</v>
      </c>
      <c r="H7" s="8">
        <f>MAX('Per-Request Data'!$E$32:$E$61)</f>
        <v>13.574999999999999</v>
      </c>
      <c r="I7" s="7" t="str">
        <f t="shared" si="0"/>
        <v>Met</v>
      </c>
    </row>
    <row r="9" spans="1:9" x14ac:dyDescent="0.25">
      <c r="A9" s="9" t="s">
        <v>54</v>
      </c>
      <c r="B9" s="10">
        <v>8</v>
      </c>
      <c r="C9" s="6" t="s">
        <v>55</v>
      </c>
    </row>
    <row r="11" spans="1:9" x14ac:dyDescent="0.25">
      <c r="A11" s="6" t="s">
        <v>56</v>
      </c>
    </row>
    <row r="12" spans="1:9" x14ac:dyDescent="0.25">
      <c r="A12" s="9" t="s">
        <v>57</v>
      </c>
      <c r="B12" s="9" t="s">
        <v>45</v>
      </c>
      <c r="C12" s="9" t="s">
        <v>46</v>
      </c>
      <c r="D12" s="9" t="s">
        <v>47</v>
      </c>
      <c r="E12" s="9" t="s">
        <v>58</v>
      </c>
    </row>
    <row r="13" spans="1:9" x14ac:dyDescent="0.25">
      <c r="A13" s="11" t="str">
        <f>A2&amp;" — "&amp;B2</f>
        <v>Claude Haiku 4.5 — English</v>
      </c>
      <c r="B13" s="12">
        <f t="shared" ref="B13:D16" si="1">D2</f>
        <v>2.1975333333333333</v>
      </c>
      <c r="C13" s="12">
        <f t="shared" si="1"/>
        <v>2.08</v>
      </c>
      <c r="D13" s="12">
        <f t="shared" si="1"/>
        <v>3.4581999999999979</v>
      </c>
      <c r="E13" s="12">
        <f>$B$9</f>
        <v>8</v>
      </c>
    </row>
    <row r="14" spans="1:9" x14ac:dyDescent="0.25">
      <c r="A14" s="11" t="str">
        <f>A3&amp;" — "&amp;B3</f>
        <v>Claude Haiku 4.5 — Welsh</v>
      </c>
      <c r="B14" s="12">
        <f t="shared" si="1"/>
        <v>3.4323333333333337</v>
      </c>
      <c r="C14" s="12">
        <f t="shared" si="1"/>
        <v>3.177</v>
      </c>
      <c r="D14" s="12">
        <f t="shared" si="1"/>
        <v>5.6869999999999967</v>
      </c>
      <c r="E14" s="12">
        <f>$B$9</f>
        <v>8</v>
      </c>
    </row>
    <row r="15" spans="1:9" x14ac:dyDescent="0.25">
      <c r="A15" s="11" t="str">
        <f>A4&amp;" — "&amp;B4</f>
        <v>Llama 3.1 8B (local) — English</v>
      </c>
      <c r="B15" s="12">
        <f t="shared" si="1"/>
        <v>3.5974000000000004</v>
      </c>
      <c r="C15" s="12">
        <f t="shared" si="1"/>
        <v>3.524</v>
      </c>
      <c r="D15" s="12">
        <f t="shared" si="1"/>
        <v>4.2888000000000002</v>
      </c>
      <c r="E15" s="12">
        <f>$B$9</f>
        <v>8</v>
      </c>
    </row>
    <row r="16" spans="1:9" x14ac:dyDescent="0.25">
      <c r="A16" s="11" t="str">
        <f>A5&amp;" — "&amp;B5</f>
        <v>Llama 3.1 8B (local) — Welsh</v>
      </c>
      <c r="B16" s="12">
        <f t="shared" si="1"/>
        <v>8.5050666666666661</v>
      </c>
      <c r="C16" s="12">
        <f t="shared" si="1"/>
        <v>7.7629999999999999</v>
      </c>
      <c r="D16" s="12">
        <f t="shared" si="1"/>
        <v>12.9947</v>
      </c>
      <c r="E16" s="12">
        <f>$B$9</f>
        <v>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F5AA-EFB4-49BA-ADFE-36B3698234C6}">
  <dimension ref="A1:AG49"/>
  <sheetViews>
    <sheetView tabSelected="1" topLeftCell="B1" zoomScale="55" zoomScaleNormal="55" workbookViewId="0">
      <selection activeCell="AC65" sqref="AC65"/>
    </sheetView>
  </sheetViews>
  <sheetFormatPr defaultRowHeight="15" x14ac:dyDescent="0.25"/>
  <cols>
    <col min="1" max="1" width="82.28515625" bestFit="1" customWidth="1"/>
    <col min="2" max="2" width="5.5703125" bestFit="1" customWidth="1"/>
    <col min="3" max="3" width="11.28515625" bestFit="1" customWidth="1"/>
    <col min="4" max="4" width="9.85546875" bestFit="1" customWidth="1"/>
    <col min="5" max="5" width="15.85546875" bestFit="1" customWidth="1"/>
    <col min="6" max="6" width="9.85546875" bestFit="1" customWidth="1"/>
    <col min="7" max="7" width="11.5703125" bestFit="1" customWidth="1"/>
    <col min="8" max="8" width="13" bestFit="1" customWidth="1"/>
    <col min="9" max="9" width="17" bestFit="1" customWidth="1"/>
    <col min="10" max="10" width="11.28515625" bestFit="1" customWidth="1"/>
    <col min="11" max="11" width="21.28515625" bestFit="1" customWidth="1"/>
  </cols>
  <sheetData>
    <row r="1" spans="1:33" ht="32.1" customHeight="1" x14ac:dyDescent="0.25">
      <c r="A1" s="13" t="s">
        <v>59</v>
      </c>
      <c r="B1" s="13"/>
      <c r="C1" s="13"/>
      <c r="D1" s="13"/>
      <c r="N1" s="34" t="s">
        <v>74</v>
      </c>
      <c r="Z1" t="s">
        <v>83</v>
      </c>
      <c r="AA1" t="s">
        <v>84</v>
      </c>
      <c r="AC1" t="s">
        <v>85</v>
      </c>
      <c r="AD1" t="s">
        <v>86</v>
      </c>
      <c r="AF1" t="s">
        <v>87</v>
      </c>
      <c r="AG1" t="s">
        <v>88</v>
      </c>
    </row>
    <row r="2" spans="1:33" x14ac:dyDescent="0.25">
      <c r="A2" s="14">
        <f>'Per-Request Data'!$E$2</f>
        <v>1.8320000000000001</v>
      </c>
      <c r="B2" s="14">
        <f>'Per-Request Data'!$E$17</f>
        <v>1.9330000000000001</v>
      </c>
      <c r="C2" s="14">
        <f>'Per-Request Data'!$E$32</f>
        <v>2.2040000000000002</v>
      </c>
      <c r="D2" s="14">
        <f>'Per-Request Data'!$E$47</f>
        <v>7.7629999999999999</v>
      </c>
      <c r="N2">
        <f>0.5+(MOD(ROW()*997,61)/61-0.5)*0.72</f>
        <v>0.63573770491803283</v>
      </c>
      <c r="O2">
        <f>'Per-Request Data'!E2</f>
        <v>1.8320000000000001</v>
      </c>
      <c r="P2">
        <f>1.5+(MOD(ROW()*1361,61)/61-0.5)*0.72</f>
        <v>1.5885245901639344</v>
      </c>
      <c r="Q2">
        <f>'Per-Request Data'!E17</f>
        <v>1.9330000000000001</v>
      </c>
      <c r="R2">
        <f>2.5+(MOD(ROW()*1777,61)/61-0.5)*0.72</f>
        <v>2.3288524590163933</v>
      </c>
      <c r="S2">
        <f>'Per-Request Data'!E32</f>
        <v>2.2040000000000002</v>
      </c>
      <c r="T2">
        <f>3.5+(MOD(ROW()*2113,61)/61-0.5)*0.72</f>
        <v>3.340655737704918</v>
      </c>
      <c r="U2">
        <f>'Per-Request Data'!E47</f>
        <v>7.7629999999999999</v>
      </c>
      <c r="Z2">
        <v>0.5</v>
      </c>
      <c r="AA2">
        <f>C40</f>
        <v>1.2110000000000001</v>
      </c>
      <c r="AC2">
        <v>0.18</v>
      </c>
      <c r="AD2">
        <f>D40</f>
        <v>1.6870000000000001</v>
      </c>
      <c r="AF2">
        <v>0.18</v>
      </c>
      <c r="AG2">
        <f>E40</f>
        <v>2.08</v>
      </c>
    </row>
    <row r="3" spans="1:33" x14ac:dyDescent="0.25">
      <c r="A3" s="14">
        <f>'Per-Request Data'!$E$3</f>
        <v>1.66</v>
      </c>
      <c r="B3" s="14">
        <f>'Per-Request Data'!$E$18</f>
        <v>2.6779999999999999</v>
      </c>
      <c r="C3" s="14">
        <f>'Per-Request Data'!$E$33</f>
        <v>3.2389999999999999</v>
      </c>
      <c r="D3" s="14">
        <f>'Per-Request Data'!$E$48</f>
        <v>7.0469999999999997</v>
      </c>
      <c r="N3">
        <f t="shared" ref="N3:N16" si="0">0.5+(MOD(ROW()*997,61)/61-0.5)*0.72</f>
        <v>0.16360655737704916</v>
      </c>
      <c r="O3">
        <f>'Per-Request Data'!E3</f>
        <v>1.66</v>
      </c>
      <c r="P3">
        <f t="shared" ref="P3:P16" si="1">1.5+(MOD(ROW()*1361,61)/61-0.5)*0.72</f>
        <v>1.8127868852459017</v>
      </c>
      <c r="Q3">
        <f>'Per-Request Data'!E18</f>
        <v>2.6779999999999999</v>
      </c>
      <c r="R3">
        <f t="shared" ref="R3:R16" si="2">2.5+(MOD(ROW()*1777,61)/61-0.5)*0.72</f>
        <v>2.4232786885245901</v>
      </c>
      <c r="S3">
        <f>'Per-Request Data'!E33</f>
        <v>3.2389999999999999</v>
      </c>
      <c r="T3">
        <f t="shared" ref="T3:T16" si="3">3.5+(MOD(ROW()*2113,61)/61-0.5)*0.72</f>
        <v>3.8009836065573772</v>
      </c>
      <c r="U3">
        <f>'Per-Request Data'!E48</f>
        <v>7.0469999999999997</v>
      </c>
      <c r="Z3">
        <v>0.5</v>
      </c>
      <c r="AA3">
        <f>D40</f>
        <v>1.6870000000000001</v>
      </c>
      <c r="AC3">
        <v>0.82</v>
      </c>
      <c r="AD3">
        <f>D40</f>
        <v>1.6870000000000001</v>
      </c>
      <c r="AF3">
        <v>0.82</v>
      </c>
      <c r="AG3">
        <f>E40</f>
        <v>2.08</v>
      </c>
    </row>
    <row r="4" spans="1:33" x14ac:dyDescent="0.25">
      <c r="A4" s="14">
        <f>'Per-Request Data'!$E$4</f>
        <v>2.65</v>
      </c>
      <c r="B4" s="14">
        <f>'Per-Request Data'!$E$19</f>
        <v>3.4380000000000002</v>
      </c>
      <c r="C4" s="14">
        <f>'Per-Request Data'!$E$34</f>
        <v>4.0949999999999998</v>
      </c>
      <c r="D4" s="14">
        <f>'Per-Request Data'!$E$49</f>
        <v>10.15</v>
      </c>
      <c r="N4">
        <f t="shared" si="0"/>
        <v>0.41147540983606556</v>
      </c>
      <c r="O4">
        <f>'Per-Request Data'!E4</f>
        <v>2.65</v>
      </c>
      <c r="P4">
        <f t="shared" si="1"/>
        <v>1.3170491803278688</v>
      </c>
      <c r="Q4">
        <f>'Per-Request Data'!E19</f>
        <v>3.4380000000000002</v>
      </c>
      <c r="R4">
        <f t="shared" si="2"/>
        <v>2.5177049180327868</v>
      </c>
      <c r="S4">
        <f>'Per-Request Data'!E34</f>
        <v>4.0949999999999998</v>
      </c>
      <c r="T4">
        <f t="shared" si="3"/>
        <v>3.5413114754098358</v>
      </c>
      <c r="U4">
        <f>'Per-Request Data'!E49</f>
        <v>10.15</v>
      </c>
      <c r="Z4" t="e">
        <f>NA()</f>
        <v>#N/A</v>
      </c>
      <c r="AA4" t="e">
        <f>NA()</f>
        <v>#N/A</v>
      </c>
      <c r="AC4">
        <v>0.82</v>
      </c>
      <c r="AD4">
        <f>F40</f>
        <v>2.4050000000000002</v>
      </c>
    </row>
    <row r="5" spans="1:33" x14ac:dyDescent="0.25">
      <c r="A5" s="14">
        <f>'Per-Request Data'!$E$5</f>
        <v>1.2110000000000001</v>
      </c>
      <c r="B5" s="14">
        <f>'Per-Request Data'!$E$20</f>
        <v>3.177</v>
      </c>
      <c r="C5" s="14">
        <f>'Per-Request Data'!$E$35</f>
        <v>3.8069999999999999</v>
      </c>
      <c r="D5" s="14">
        <f>'Per-Request Data'!$E$50</f>
        <v>7.3520000000000003</v>
      </c>
      <c r="N5">
        <f t="shared" si="0"/>
        <v>0.65934426229508203</v>
      </c>
      <c r="O5">
        <f>'Per-Request Data'!E5</f>
        <v>1.2110000000000001</v>
      </c>
      <c r="P5">
        <f t="shared" si="1"/>
        <v>1.541311475409836</v>
      </c>
      <c r="Q5">
        <f>'Per-Request Data'!E20</f>
        <v>3.177</v>
      </c>
      <c r="R5">
        <f t="shared" si="2"/>
        <v>2.6121311475409836</v>
      </c>
      <c r="S5">
        <f>'Per-Request Data'!E35</f>
        <v>3.8069999999999999</v>
      </c>
      <c r="T5">
        <f t="shared" si="3"/>
        <v>3.2816393442622953</v>
      </c>
      <c r="U5">
        <f>'Per-Request Data'!E50</f>
        <v>7.3520000000000003</v>
      </c>
      <c r="Z5">
        <v>0.5</v>
      </c>
      <c r="AA5">
        <f>F40</f>
        <v>2.4050000000000002</v>
      </c>
      <c r="AC5">
        <v>0.18</v>
      </c>
      <c r="AD5">
        <f>F40</f>
        <v>2.4050000000000002</v>
      </c>
      <c r="AF5">
        <v>1.18</v>
      </c>
      <c r="AG5">
        <f>E41</f>
        <v>3.177</v>
      </c>
    </row>
    <row r="6" spans="1:33" x14ac:dyDescent="0.25">
      <c r="A6" s="14">
        <f>'Per-Request Data'!$E$6</f>
        <v>2.9409999999999998</v>
      </c>
      <c r="B6" s="14">
        <f>'Per-Request Data'!$E$21</f>
        <v>3.2509999999999999</v>
      </c>
      <c r="C6" s="14">
        <f>'Per-Request Data'!$E$36</f>
        <v>3.8130000000000002</v>
      </c>
      <c r="D6" s="14">
        <f>'Per-Request Data'!$E$51</f>
        <v>10.183</v>
      </c>
      <c r="N6">
        <f t="shared" si="0"/>
        <v>0.18721311475409841</v>
      </c>
      <c r="O6">
        <f>'Per-Request Data'!E6</f>
        <v>2.9409999999999998</v>
      </c>
      <c r="P6">
        <f t="shared" si="1"/>
        <v>1.7655737704918033</v>
      </c>
      <c r="Q6">
        <f>'Per-Request Data'!E21</f>
        <v>3.2509999999999999</v>
      </c>
      <c r="R6">
        <f t="shared" si="2"/>
        <v>2.7065573770491804</v>
      </c>
      <c r="S6">
        <f>'Per-Request Data'!E36</f>
        <v>3.8130000000000002</v>
      </c>
      <c r="T6">
        <f t="shared" si="3"/>
        <v>3.7419672131147541</v>
      </c>
      <c r="U6">
        <f>'Per-Request Data'!E51</f>
        <v>10.183</v>
      </c>
      <c r="Z6">
        <v>0.5</v>
      </c>
      <c r="AA6">
        <f>G40</f>
        <v>4.665</v>
      </c>
      <c r="AC6">
        <v>0.18</v>
      </c>
      <c r="AD6">
        <f>D40</f>
        <v>1.6870000000000001</v>
      </c>
      <c r="AF6">
        <v>1.82</v>
      </c>
      <c r="AG6">
        <f>E41</f>
        <v>3.177</v>
      </c>
    </row>
    <row r="7" spans="1:33" x14ac:dyDescent="0.25">
      <c r="A7" s="14">
        <f>'Per-Request Data'!$E$7</f>
        <v>2.141</v>
      </c>
      <c r="B7" s="14">
        <f>'Per-Request Data'!$E$22</f>
        <v>2.988</v>
      </c>
      <c r="C7" s="14">
        <f>'Per-Request Data'!$E$37</f>
        <v>3.5150000000000001</v>
      </c>
      <c r="D7" s="14">
        <f>'Per-Request Data'!$E$52</f>
        <v>13.574999999999999</v>
      </c>
      <c r="N7">
        <f t="shared" si="0"/>
        <v>0.43508196721311476</v>
      </c>
      <c r="O7">
        <f>'Per-Request Data'!E7</f>
        <v>2.141</v>
      </c>
      <c r="P7">
        <f t="shared" si="1"/>
        <v>1.2698360655737706</v>
      </c>
      <c r="Q7">
        <f>'Per-Request Data'!E22</f>
        <v>2.988</v>
      </c>
      <c r="R7">
        <f t="shared" si="2"/>
        <v>2.8009836065573772</v>
      </c>
      <c r="S7">
        <f>'Per-Request Data'!E37</f>
        <v>3.5150000000000001</v>
      </c>
      <c r="T7">
        <f t="shared" si="3"/>
        <v>3.4822950819672132</v>
      </c>
      <c r="U7">
        <f>'Per-Request Data'!E52</f>
        <v>13.574999999999999</v>
      </c>
      <c r="Z7" t="e">
        <f>NA()</f>
        <v>#N/A</v>
      </c>
      <c r="AA7" t="e">
        <f>NA()</f>
        <v>#N/A</v>
      </c>
    </row>
    <row r="8" spans="1:33" x14ac:dyDescent="0.25">
      <c r="A8" s="14">
        <f>'Per-Request Data'!$E$8</f>
        <v>2.3660000000000001</v>
      </c>
      <c r="B8" s="14">
        <f>'Per-Request Data'!$E$23</f>
        <v>2.359</v>
      </c>
      <c r="C8" s="14">
        <f>'Per-Request Data'!$E$38</f>
        <v>3.4590000000000001</v>
      </c>
      <c r="D8" s="14">
        <f>'Per-Request Data'!$E$53</f>
        <v>8.3000000000000007</v>
      </c>
      <c r="N8">
        <f t="shared" si="0"/>
        <v>0.68295081967213112</v>
      </c>
      <c r="O8">
        <f>'Per-Request Data'!E8</f>
        <v>2.3660000000000001</v>
      </c>
      <c r="P8">
        <f t="shared" si="1"/>
        <v>1.4940983606557376</v>
      </c>
      <c r="Q8">
        <f>'Per-Request Data'!E23</f>
        <v>2.359</v>
      </c>
      <c r="R8">
        <f t="shared" si="2"/>
        <v>2.1754098360655738</v>
      </c>
      <c r="S8">
        <f>'Per-Request Data'!E38</f>
        <v>3.4590000000000001</v>
      </c>
      <c r="T8">
        <f t="shared" si="3"/>
        <v>3.2226229508196722</v>
      </c>
      <c r="U8">
        <f>'Per-Request Data'!E53</f>
        <v>8.3000000000000007</v>
      </c>
      <c r="Z8">
        <v>1.5</v>
      </c>
      <c r="AA8">
        <f>C41</f>
        <v>1.738</v>
      </c>
      <c r="AC8">
        <v>1.18</v>
      </c>
      <c r="AD8">
        <f>D41</f>
        <v>2.6059999999999999</v>
      </c>
      <c r="AF8">
        <v>2.1800000000000002</v>
      </c>
      <c r="AG8">
        <f>E42</f>
        <v>3.524</v>
      </c>
    </row>
    <row r="9" spans="1:33" x14ac:dyDescent="0.25">
      <c r="A9" s="14">
        <f>'Per-Request Data'!$E$9</f>
        <v>1.444</v>
      </c>
      <c r="B9" s="14">
        <f>'Per-Request Data'!$E$24</f>
        <v>1.738</v>
      </c>
      <c r="C9" s="14">
        <f>'Per-Request Data'!$E$39</f>
        <v>3.524</v>
      </c>
      <c r="D9" s="14">
        <f>'Per-Request Data'!$E$54</f>
        <v>7.4950000000000001</v>
      </c>
      <c r="N9">
        <f t="shared" si="0"/>
        <v>0.21081967213114755</v>
      </c>
      <c r="O9">
        <f>'Per-Request Data'!E9</f>
        <v>1.444</v>
      </c>
      <c r="P9">
        <f t="shared" si="1"/>
        <v>1.7183606557377049</v>
      </c>
      <c r="Q9">
        <f>'Per-Request Data'!E24</f>
        <v>1.738</v>
      </c>
      <c r="R9">
        <f t="shared" si="2"/>
        <v>2.2698360655737706</v>
      </c>
      <c r="S9">
        <f>'Per-Request Data'!E39</f>
        <v>3.524</v>
      </c>
      <c r="T9">
        <f t="shared" si="3"/>
        <v>3.682950819672131</v>
      </c>
      <c r="U9">
        <f>'Per-Request Data'!E54</f>
        <v>7.4950000000000001</v>
      </c>
      <c r="Z9">
        <v>1.5</v>
      </c>
      <c r="AA9">
        <f>D41</f>
        <v>2.6059999999999999</v>
      </c>
      <c r="AC9">
        <v>1.82</v>
      </c>
      <c r="AD9">
        <f>D41</f>
        <v>2.6059999999999999</v>
      </c>
      <c r="AF9">
        <v>2.82</v>
      </c>
      <c r="AG9">
        <f>E42</f>
        <v>3.524</v>
      </c>
    </row>
    <row r="10" spans="1:33" x14ac:dyDescent="0.25">
      <c r="A10" s="14">
        <f>'Per-Request Data'!$E$10</f>
        <v>2.08</v>
      </c>
      <c r="B10" s="14">
        <f>'Per-Request Data'!$E$25</f>
        <v>7.5209999999999999</v>
      </c>
      <c r="C10" s="14">
        <f>'Per-Request Data'!$E$40</f>
        <v>4.2</v>
      </c>
      <c r="D10" s="14">
        <f>'Per-Request Data'!$E$55</f>
        <v>12.746</v>
      </c>
      <c r="N10">
        <f t="shared" si="0"/>
        <v>0.45868852459016396</v>
      </c>
      <c r="O10">
        <f>'Per-Request Data'!E10</f>
        <v>2.08</v>
      </c>
      <c r="P10">
        <f t="shared" si="1"/>
        <v>1.2226229508196722</v>
      </c>
      <c r="Q10">
        <f>'Per-Request Data'!E25</f>
        <v>7.5209999999999999</v>
      </c>
      <c r="R10">
        <f t="shared" si="2"/>
        <v>2.3642622950819674</v>
      </c>
      <c r="S10">
        <f>'Per-Request Data'!E40</f>
        <v>4.2</v>
      </c>
      <c r="T10">
        <f t="shared" si="3"/>
        <v>3.4232786885245901</v>
      </c>
      <c r="U10">
        <f>'Per-Request Data'!E55</f>
        <v>12.746</v>
      </c>
      <c r="Z10" t="e">
        <f>NA()</f>
        <v>#N/A</v>
      </c>
      <c r="AA10" t="e">
        <f>NA()</f>
        <v>#N/A</v>
      </c>
      <c r="AC10">
        <v>1.82</v>
      </c>
      <c r="AD10">
        <f>F41</f>
        <v>3.6470000000000002</v>
      </c>
    </row>
    <row r="11" spans="1:33" x14ac:dyDescent="0.25">
      <c r="A11" s="14">
        <f>'Per-Request Data'!$E$11</f>
        <v>2.1720000000000002</v>
      </c>
      <c r="B11" s="14">
        <f>'Per-Request Data'!$E$26</f>
        <v>4.7949999999999999</v>
      </c>
      <c r="C11" s="14">
        <f>'Per-Request Data'!$E$41</f>
        <v>3.2389999999999999</v>
      </c>
      <c r="D11" s="14">
        <f>'Per-Request Data'!$E$56</f>
        <v>6.899</v>
      </c>
      <c r="N11">
        <f t="shared" si="0"/>
        <v>0.70655737704918031</v>
      </c>
      <c r="O11">
        <f>'Per-Request Data'!E11</f>
        <v>2.1720000000000002</v>
      </c>
      <c r="P11">
        <f t="shared" si="1"/>
        <v>1.4468852459016392</v>
      </c>
      <c r="Q11">
        <f>'Per-Request Data'!E26</f>
        <v>4.7949999999999999</v>
      </c>
      <c r="R11">
        <f t="shared" si="2"/>
        <v>2.4586885245901637</v>
      </c>
      <c r="S11">
        <f>'Per-Request Data'!E41</f>
        <v>3.2389999999999999</v>
      </c>
      <c r="T11">
        <f t="shared" si="3"/>
        <v>3.1636065573770491</v>
      </c>
      <c r="U11">
        <f>'Per-Request Data'!E56</f>
        <v>6.899</v>
      </c>
      <c r="Z11">
        <v>1.5</v>
      </c>
      <c r="AA11">
        <f>F41</f>
        <v>3.6470000000000002</v>
      </c>
      <c r="AC11">
        <v>1.18</v>
      </c>
      <c r="AD11">
        <f>F41</f>
        <v>3.6470000000000002</v>
      </c>
      <c r="AF11">
        <v>3.18</v>
      </c>
      <c r="AG11">
        <f>E43</f>
        <v>7.7629999999999999</v>
      </c>
    </row>
    <row r="12" spans="1:33" x14ac:dyDescent="0.25">
      <c r="A12" s="14">
        <f>'Per-Request Data'!$E$12</f>
        <v>1.9830000000000001</v>
      </c>
      <c r="B12" s="14">
        <f>'Per-Request Data'!$E$27</f>
        <v>2.5339999999999998</v>
      </c>
      <c r="C12" s="14">
        <f>'Per-Request Data'!$E$42</f>
        <v>3.35</v>
      </c>
      <c r="D12" s="14">
        <f>'Per-Request Data'!$E$57</f>
        <v>6.2960000000000003</v>
      </c>
      <c r="N12">
        <f t="shared" si="0"/>
        <v>0.23442622950819675</v>
      </c>
      <c r="O12">
        <f>'Per-Request Data'!E12</f>
        <v>1.9830000000000001</v>
      </c>
      <c r="P12">
        <f t="shared" si="1"/>
        <v>1.6711475409836065</v>
      </c>
      <c r="Q12">
        <f>'Per-Request Data'!E27</f>
        <v>2.5339999999999998</v>
      </c>
      <c r="R12">
        <f t="shared" si="2"/>
        <v>2.5531147540983605</v>
      </c>
      <c r="S12">
        <f>'Per-Request Data'!E42</f>
        <v>3.35</v>
      </c>
      <c r="T12">
        <f t="shared" si="3"/>
        <v>3.6239344262295083</v>
      </c>
      <c r="U12">
        <f>'Per-Request Data'!E57</f>
        <v>6.2960000000000003</v>
      </c>
      <c r="Z12">
        <v>1.5</v>
      </c>
      <c r="AA12">
        <f>G41</f>
        <v>7.5209999999999999</v>
      </c>
      <c r="AC12">
        <v>1.18</v>
      </c>
      <c r="AD12">
        <f>D41</f>
        <v>2.6059999999999999</v>
      </c>
      <c r="AF12">
        <v>3.82</v>
      </c>
      <c r="AG12">
        <f>E43</f>
        <v>7.7629999999999999</v>
      </c>
    </row>
    <row r="13" spans="1:33" x14ac:dyDescent="0.25">
      <c r="A13" s="14">
        <f>'Per-Request Data'!$E$13</f>
        <v>4.665</v>
      </c>
      <c r="B13" s="14">
        <f>'Per-Request Data'!$E$28</f>
        <v>4.9009999999999998</v>
      </c>
      <c r="C13" s="14">
        <f>'Per-Request Data'!$E$43</f>
        <v>4.4960000000000004</v>
      </c>
      <c r="D13" s="14">
        <f>'Per-Request Data'!$E$58</f>
        <v>5.4880000000000004</v>
      </c>
      <c r="N13">
        <f t="shared" si="0"/>
        <v>0.4822950819672131</v>
      </c>
      <c r="O13">
        <f>'Per-Request Data'!E13</f>
        <v>4.665</v>
      </c>
      <c r="P13">
        <f t="shared" si="1"/>
        <v>1.1754098360655738</v>
      </c>
      <c r="Q13">
        <f>'Per-Request Data'!E28</f>
        <v>4.9009999999999998</v>
      </c>
      <c r="R13">
        <f t="shared" si="2"/>
        <v>2.6475409836065573</v>
      </c>
      <c r="S13">
        <f>'Per-Request Data'!E43</f>
        <v>4.4960000000000004</v>
      </c>
      <c r="T13">
        <f t="shared" si="3"/>
        <v>3.3642622950819674</v>
      </c>
      <c r="U13">
        <f>'Per-Request Data'!E58</f>
        <v>5.4880000000000004</v>
      </c>
      <c r="Z13" t="e">
        <f>NA()</f>
        <v>#N/A</v>
      </c>
      <c r="AA13" t="e">
        <f>NA()</f>
        <v>#N/A</v>
      </c>
    </row>
    <row r="14" spans="1:33" x14ac:dyDescent="0.25">
      <c r="A14" s="14">
        <f>'Per-Request Data'!$E$14</f>
        <v>1.6830000000000001</v>
      </c>
      <c r="B14" s="14">
        <f>'Per-Request Data'!$E$29</f>
        <v>3.2549999999999999</v>
      </c>
      <c r="C14" s="14">
        <f>'Per-Request Data'!$E$44</f>
        <v>3.3740000000000001</v>
      </c>
      <c r="D14" s="14">
        <f>'Per-Request Data'!$E$59</f>
        <v>7.1639999999999997</v>
      </c>
      <c r="N14">
        <f t="shared" si="0"/>
        <v>0.73016393442622951</v>
      </c>
      <c r="O14">
        <f>'Per-Request Data'!E14</f>
        <v>1.6830000000000001</v>
      </c>
      <c r="P14">
        <f t="shared" si="1"/>
        <v>1.3996721311475411</v>
      </c>
      <c r="Q14">
        <f>'Per-Request Data'!E29</f>
        <v>3.2549999999999999</v>
      </c>
      <c r="R14">
        <f t="shared" si="2"/>
        <v>2.7419672131147541</v>
      </c>
      <c r="S14">
        <f>'Per-Request Data'!E44</f>
        <v>3.3740000000000001</v>
      </c>
      <c r="T14">
        <f t="shared" si="3"/>
        <v>3.8245901639344262</v>
      </c>
      <c r="U14">
        <f>'Per-Request Data'!E59</f>
        <v>7.1639999999999997</v>
      </c>
      <c r="Z14">
        <v>2.5</v>
      </c>
      <c r="AA14">
        <f>C42</f>
        <v>2.2040000000000002</v>
      </c>
      <c r="AC14">
        <v>2.1800000000000002</v>
      </c>
      <c r="AD14">
        <f>D42</f>
        <v>3.3620000000000001</v>
      </c>
    </row>
    <row r="15" spans="1:33" x14ac:dyDescent="0.25">
      <c r="A15" s="14">
        <f>'Per-Request Data'!$E$15</f>
        <v>2.444</v>
      </c>
      <c r="B15" s="14">
        <f>'Per-Request Data'!$E$30</f>
        <v>3.0609999999999999</v>
      </c>
      <c r="C15" s="14">
        <f>'Per-Request Data'!$E$45</f>
        <v>3.9630000000000001</v>
      </c>
      <c r="D15" s="14">
        <f>'Per-Request Data'!$E$60</f>
        <v>8.2729999999999997</v>
      </c>
      <c r="N15">
        <f t="shared" si="0"/>
        <v>0.25803278688524589</v>
      </c>
      <c r="O15">
        <f>'Per-Request Data'!E15</f>
        <v>2.444</v>
      </c>
      <c r="P15">
        <f t="shared" si="1"/>
        <v>1.6239344262295081</v>
      </c>
      <c r="Q15">
        <f>'Per-Request Data'!E30</f>
        <v>3.0609999999999999</v>
      </c>
      <c r="R15">
        <f t="shared" si="2"/>
        <v>2.8363934426229509</v>
      </c>
      <c r="S15">
        <f>'Per-Request Data'!E45</f>
        <v>3.9630000000000001</v>
      </c>
      <c r="T15">
        <f t="shared" si="3"/>
        <v>3.5649180327868852</v>
      </c>
      <c r="U15">
        <f>'Per-Request Data'!E60</f>
        <v>8.2729999999999997</v>
      </c>
      <c r="Z15">
        <v>2.5</v>
      </c>
      <c r="AA15">
        <f>D42</f>
        <v>3.3620000000000001</v>
      </c>
      <c r="AC15">
        <v>2.82</v>
      </c>
      <c r="AD15">
        <f>D42</f>
        <v>3.3620000000000001</v>
      </c>
    </row>
    <row r="16" spans="1:33" x14ac:dyDescent="0.25">
      <c r="A16" s="14">
        <f>'Per-Request Data'!$E$16</f>
        <v>1.6910000000000001</v>
      </c>
      <c r="B16" s="14">
        <f>'Per-Request Data'!$E$31</f>
        <v>3.8559999999999999</v>
      </c>
      <c r="C16" s="14">
        <f>'Per-Request Data'!$E$46</f>
        <v>3.6829999999999998</v>
      </c>
      <c r="D16" s="14">
        <f>'Per-Request Data'!$E$61</f>
        <v>8.8450000000000006</v>
      </c>
      <c r="N16">
        <f t="shared" si="0"/>
        <v>0.50590163934426235</v>
      </c>
      <c r="O16">
        <f>'Per-Request Data'!E16</f>
        <v>1.6910000000000001</v>
      </c>
      <c r="P16">
        <f t="shared" si="1"/>
        <v>1.8481967213114754</v>
      </c>
      <c r="Q16">
        <f>'Per-Request Data'!E31</f>
        <v>3.8559999999999999</v>
      </c>
      <c r="R16">
        <f t="shared" si="2"/>
        <v>2.2108196721311475</v>
      </c>
      <c r="S16">
        <f>'Per-Request Data'!E46</f>
        <v>3.6829999999999998</v>
      </c>
      <c r="T16">
        <f t="shared" si="3"/>
        <v>3.3052459016393443</v>
      </c>
      <c r="U16">
        <f>'Per-Request Data'!E61</f>
        <v>8.8450000000000006</v>
      </c>
      <c r="Z16" t="e">
        <f>NA()</f>
        <v>#N/A</v>
      </c>
      <c r="AA16" t="e">
        <f>NA()</f>
        <v>#N/A</v>
      </c>
      <c r="AC16">
        <v>2.82</v>
      </c>
      <c r="AD16">
        <f>F42</f>
        <v>3.8879999999999999</v>
      </c>
    </row>
    <row r="17" spans="14:30" x14ac:dyDescent="0.25">
      <c r="Z17">
        <v>2.5</v>
      </c>
      <c r="AA17">
        <f>F42</f>
        <v>3.8879999999999999</v>
      </c>
      <c r="AC17">
        <v>2.1800000000000002</v>
      </c>
      <c r="AD17">
        <f>F42</f>
        <v>3.8879999999999999</v>
      </c>
    </row>
    <row r="18" spans="14:30" x14ac:dyDescent="0.25">
      <c r="Z18">
        <v>2.5</v>
      </c>
      <c r="AA18">
        <f>G42</f>
        <v>4.4960000000000004</v>
      </c>
      <c r="AC18">
        <v>2.1800000000000002</v>
      </c>
      <c r="AD18">
        <f>D42</f>
        <v>3.3620000000000001</v>
      </c>
    </row>
    <row r="19" spans="14:30" x14ac:dyDescent="0.25">
      <c r="N19" t="s">
        <v>57</v>
      </c>
      <c r="O19" t="s">
        <v>75</v>
      </c>
      <c r="P19" t="s">
        <v>76</v>
      </c>
      <c r="Q19" t="s">
        <v>77</v>
      </c>
      <c r="R19" t="s">
        <v>78</v>
      </c>
      <c r="S19" t="s">
        <v>79</v>
      </c>
      <c r="T19" t="s">
        <v>80</v>
      </c>
      <c r="W19" t="s">
        <v>81</v>
      </c>
      <c r="X19" t="s">
        <v>82</v>
      </c>
      <c r="Z19" t="e">
        <f>NA()</f>
        <v>#N/A</v>
      </c>
      <c r="AA19" t="e">
        <f>NA()</f>
        <v>#N/A</v>
      </c>
    </row>
    <row r="20" spans="14:30" x14ac:dyDescent="0.25">
      <c r="N20" t="str">
        <f>A40</f>
        <v>English – Claude Haiku 4.5</v>
      </c>
      <c r="O20">
        <f>D40</f>
        <v>1.6870000000000001</v>
      </c>
      <c r="P20" s="35">
        <f>E40-D40-0.025</f>
        <v>0.36799999999999999</v>
      </c>
      <c r="Q20">
        <v>0.05</v>
      </c>
      <c r="R20" s="35">
        <f>F40-E40-0.025</f>
        <v>0.30000000000000016</v>
      </c>
      <c r="S20" s="36">
        <f>D40-C40</f>
        <v>0.47599999999999998</v>
      </c>
      <c r="T20" s="36">
        <f>G40-F40</f>
        <v>2.2599999999999998</v>
      </c>
      <c r="W20">
        <v>0.5</v>
      </c>
      <c r="X20">
        <f>H40</f>
        <v>2.1975333333333333</v>
      </c>
      <c r="Z20">
        <v>3.5</v>
      </c>
      <c r="AA20">
        <f>C43</f>
        <v>5.4880000000000004</v>
      </c>
      <c r="AC20">
        <v>3.18</v>
      </c>
      <c r="AD20">
        <f>D43</f>
        <v>7.1054999999999993</v>
      </c>
    </row>
    <row r="21" spans="14:30" x14ac:dyDescent="0.25">
      <c r="N21" t="str">
        <f>A41</f>
        <v>Welsh – Claude Haiku 4.5</v>
      </c>
      <c r="O21">
        <f>D41</f>
        <v>2.6059999999999999</v>
      </c>
      <c r="P21" s="35">
        <f>E41-D41-0.025</f>
        <v>0.54600000000000015</v>
      </c>
      <c r="Q21">
        <v>0.05</v>
      </c>
      <c r="R21" s="35">
        <f>F41-E41-0.025</f>
        <v>0.44500000000000017</v>
      </c>
      <c r="S21" s="36">
        <f>D41-C41</f>
        <v>0.86799999999999988</v>
      </c>
      <c r="T21" s="36">
        <f>G41-F41</f>
        <v>3.8739999999999997</v>
      </c>
      <c r="W21">
        <v>1.5</v>
      </c>
      <c r="X21">
        <f>H41</f>
        <v>3.4323333333333337</v>
      </c>
      <c r="Z21">
        <v>3.5</v>
      </c>
      <c r="AA21">
        <f>D43</f>
        <v>7.1054999999999993</v>
      </c>
      <c r="AC21">
        <v>3.82</v>
      </c>
      <c r="AD21">
        <f>D43</f>
        <v>7.1054999999999993</v>
      </c>
    </row>
    <row r="22" spans="14:30" x14ac:dyDescent="0.25">
      <c r="N22" t="str">
        <f>A42</f>
        <v>English – Llama 3.1 8B (local)</v>
      </c>
      <c r="O22">
        <f>D42</f>
        <v>3.3620000000000001</v>
      </c>
      <c r="P22" s="35">
        <f>E42-D42-0.025</f>
        <v>0.13699999999999993</v>
      </c>
      <c r="Q22">
        <v>0.05</v>
      </c>
      <c r="R22" s="35">
        <f>F42-E42-0.025</f>
        <v>0.33899999999999986</v>
      </c>
      <c r="S22" s="36">
        <f>D42-C42</f>
        <v>1.1579999999999999</v>
      </c>
      <c r="T22" s="36">
        <f>G42-F42</f>
        <v>0.60800000000000054</v>
      </c>
      <c r="W22">
        <v>2.5</v>
      </c>
      <c r="X22">
        <f>H42</f>
        <v>3.5974000000000004</v>
      </c>
      <c r="Z22" t="e">
        <f>NA()</f>
        <v>#N/A</v>
      </c>
      <c r="AA22" t="e">
        <f>NA()</f>
        <v>#N/A</v>
      </c>
      <c r="AC22">
        <v>3.82</v>
      </c>
      <c r="AD22">
        <f>F43</f>
        <v>9.4975000000000005</v>
      </c>
    </row>
    <row r="23" spans="14:30" x14ac:dyDescent="0.25">
      <c r="N23" t="str">
        <f>A43</f>
        <v>Welsh – Llama 3.1 8B (local)</v>
      </c>
      <c r="O23">
        <f>D43</f>
        <v>7.1054999999999993</v>
      </c>
      <c r="P23" s="35">
        <f>E43-D43-0.025</f>
        <v>0.63250000000000062</v>
      </c>
      <c r="Q23">
        <v>0.05</v>
      </c>
      <c r="R23" s="35">
        <f>F43-E43-0.025</f>
        <v>1.7095000000000007</v>
      </c>
      <c r="S23" s="36">
        <f>D43-C43</f>
        <v>1.6174999999999988</v>
      </c>
      <c r="T23" s="36">
        <f>G43-F43</f>
        <v>4.0774999999999988</v>
      </c>
      <c r="W23">
        <v>3.5</v>
      </c>
      <c r="X23">
        <f>H43</f>
        <v>8.5050666666666661</v>
      </c>
      <c r="Z23">
        <v>3.5</v>
      </c>
      <c r="AA23">
        <f>F43</f>
        <v>9.4975000000000005</v>
      </c>
      <c r="AC23">
        <v>3.18</v>
      </c>
      <c r="AD23">
        <f>F43</f>
        <v>9.4975000000000005</v>
      </c>
    </row>
    <row r="24" spans="14:30" x14ac:dyDescent="0.25">
      <c r="Z24">
        <v>3.5</v>
      </c>
      <c r="AA24">
        <f>G43</f>
        <v>13.574999999999999</v>
      </c>
      <c r="AC24">
        <v>3.18</v>
      </c>
      <c r="AD24">
        <f>D43</f>
        <v>7.1054999999999993</v>
      </c>
    </row>
    <row r="25" spans="14:30" x14ac:dyDescent="0.25">
      <c r="Z25" t="e">
        <f>NA()</f>
        <v>#N/A</v>
      </c>
      <c r="AA25" t="e">
        <f>NA()</f>
        <v>#N/A</v>
      </c>
    </row>
    <row r="26" spans="14:30" x14ac:dyDescent="0.25">
      <c r="W26">
        <v>0</v>
      </c>
      <c r="X26">
        <v>8</v>
      </c>
    </row>
    <row r="27" spans="14:30" x14ac:dyDescent="0.25">
      <c r="W27">
        <v>4</v>
      </c>
      <c r="X27">
        <v>8</v>
      </c>
    </row>
    <row r="38" spans="1:11" ht="15.75" x14ac:dyDescent="0.25">
      <c r="A38" s="15" t="s">
        <v>64</v>
      </c>
    </row>
    <row r="39" spans="1:11" x14ac:dyDescent="0.25">
      <c r="A39" s="26" t="s">
        <v>57</v>
      </c>
      <c r="B39" s="27" t="s">
        <v>44</v>
      </c>
      <c r="C39" s="27" t="s">
        <v>48</v>
      </c>
      <c r="D39" s="27" t="s">
        <v>65</v>
      </c>
      <c r="E39" s="27" t="s">
        <v>46</v>
      </c>
      <c r="F39" s="27" t="s">
        <v>66</v>
      </c>
      <c r="G39" s="27" t="s">
        <v>49</v>
      </c>
      <c r="H39" s="27" t="s">
        <v>45</v>
      </c>
      <c r="I39" s="27" t="s">
        <v>67</v>
      </c>
      <c r="J39" s="27" t="s">
        <v>68</v>
      </c>
      <c r="K39" s="28" t="s">
        <v>50</v>
      </c>
    </row>
    <row r="40" spans="1:11" x14ac:dyDescent="0.25">
      <c r="A40" s="29" t="str">
        <f>Summary!B2&amp;" – "&amp;Summary!A2</f>
        <v>English – Claude Haiku 4.5</v>
      </c>
      <c r="B40" s="23">
        <f>Summary!C2</f>
        <v>15</v>
      </c>
      <c r="C40" s="24">
        <f>Summary!G2</f>
        <v>1.2110000000000001</v>
      </c>
      <c r="D40" s="24">
        <f>_xlfn.QUARTILE.INC('Per-Request Data'!$E$2:$E$16,1)</f>
        <v>1.6870000000000001</v>
      </c>
      <c r="E40" s="24">
        <f>Summary!E2</f>
        <v>2.08</v>
      </c>
      <c r="F40" s="24">
        <f>_xlfn.QUARTILE.INC('Per-Request Data'!$E$2:$E$16,3)</f>
        <v>2.4050000000000002</v>
      </c>
      <c r="G40" s="24">
        <f>Summary!H2</f>
        <v>4.665</v>
      </c>
      <c r="H40" s="24">
        <f>Summary!D2</f>
        <v>2.1975333333333333</v>
      </c>
      <c r="I40" s="24">
        <f>Summary!F2</f>
        <v>3.4581999999999979</v>
      </c>
      <c r="J40" s="24">
        <f>F40-D40</f>
        <v>0.71800000000000019</v>
      </c>
      <c r="K40" s="25" t="str">
        <f>Summary!I2</f>
        <v>Met</v>
      </c>
    </row>
    <row r="41" spans="1:11" x14ac:dyDescent="0.25">
      <c r="A41" s="30" t="str">
        <f>Summary!B3&amp;" – "&amp;Summary!A3</f>
        <v>Welsh – Claude Haiku 4.5</v>
      </c>
      <c r="B41" s="17">
        <f>Summary!C3</f>
        <v>15</v>
      </c>
      <c r="C41" s="18">
        <f>Summary!G3</f>
        <v>1.738</v>
      </c>
      <c r="D41" s="18">
        <f>_xlfn.QUARTILE.INC('Per-Request Data'!$E$17:$E$31,1)</f>
        <v>2.6059999999999999</v>
      </c>
      <c r="E41" s="18">
        <f>Summary!E3</f>
        <v>3.177</v>
      </c>
      <c r="F41" s="18">
        <f>_xlfn.QUARTILE.INC('Per-Request Data'!$E$17:$E$31,3)</f>
        <v>3.6470000000000002</v>
      </c>
      <c r="G41" s="18">
        <f>Summary!H3</f>
        <v>7.5209999999999999</v>
      </c>
      <c r="H41" s="18">
        <f>Summary!D3</f>
        <v>3.4323333333333337</v>
      </c>
      <c r="I41" s="18">
        <f>Summary!F3</f>
        <v>5.6869999999999967</v>
      </c>
      <c r="J41" s="18">
        <f>F41-D41</f>
        <v>1.0410000000000004</v>
      </c>
      <c r="K41" s="19" t="str">
        <f>Summary!I3</f>
        <v>Met</v>
      </c>
    </row>
    <row r="42" spans="1:11" x14ac:dyDescent="0.25">
      <c r="A42" s="30" t="str">
        <f>Summary!B4&amp;" – "&amp;Summary!A4</f>
        <v>English – Llama 3.1 8B (local)</v>
      </c>
      <c r="B42" s="17">
        <f>Summary!C4</f>
        <v>15</v>
      </c>
      <c r="C42" s="18">
        <f>Summary!G4</f>
        <v>2.2040000000000002</v>
      </c>
      <c r="D42" s="18">
        <f>_xlfn.QUARTILE.INC('Per-Request Data'!$E$32:$E$46,1)</f>
        <v>3.3620000000000001</v>
      </c>
      <c r="E42" s="18">
        <f>Summary!E4</f>
        <v>3.524</v>
      </c>
      <c r="F42" s="18">
        <f>_xlfn.QUARTILE.INC('Per-Request Data'!$E$32:$E$46,3)</f>
        <v>3.8879999999999999</v>
      </c>
      <c r="G42" s="18">
        <f>Summary!H4</f>
        <v>4.4960000000000004</v>
      </c>
      <c r="H42" s="18">
        <f>Summary!D4</f>
        <v>3.5974000000000004</v>
      </c>
      <c r="I42" s="18">
        <f>Summary!F4</f>
        <v>4.2888000000000002</v>
      </c>
      <c r="J42" s="18">
        <f>F42-D42</f>
        <v>0.5259999999999998</v>
      </c>
      <c r="K42" s="19" t="str">
        <f>Summary!I4</f>
        <v>Met</v>
      </c>
    </row>
    <row r="43" spans="1:11" x14ac:dyDescent="0.25">
      <c r="A43" s="31" t="str">
        <f>Summary!B5&amp;" – "&amp;Summary!A5</f>
        <v>Welsh – Llama 3.1 8B (local)</v>
      </c>
      <c r="B43" s="20">
        <f>Summary!C5</f>
        <v>15</v>
      </c>
      <c r="C43" s="21">
        <f>Summary!G5</f>
        <v>5.4880000000000004</v>
      </c>
      <c r="D43" s="21">
        <f>_xlfn.QUARTILE.INC('Per-Request Data'!$E$47:$E$61,1)</f>
        <v>7.1054999999999993</v>
      </c>
      <c r="E43" s="21">
        <f>Summary!E5</f>
        <v>7.7629999999999999</v>
      </c>
      <c r="F43" s="21">
        <f>_xlfn.QUARTILE.INC('Per-Request Data'!$E$47:$E$61,3)</f>
        <v>9.4975000000000005</v>
      </c>
      <c r="G43" s="21">
        <f>Summary!H5</f>
        <v>13.574999999999999</v>
      </c>
      <c r="H43" s="21">
        <f>Summary!D5</f>
        <v>8.5050666666666661</v>
      </c>
      <c r="I43" s="21">
        <f>Summary!F5</f>
        <v>12.9947</v>
      </c>
      <c r="J43" s="21">
        <f>F43-D43</f>
        <v>2.3920000000000012</v>
      </c>
      <c r="K43" s="22" t="str">
        <f>Summary!I5</f>
        <v>Not met</v>
      </c>
    </row>
    <row r="45" spans="1:11" x14ac:dyDescent="0.25">
      <c r="A45" s="32" t="s">
        <v>69</v>
      </c>
    </row>
    <row r="46" spans="1:11" x14ac:dyDescent="0.25">
      <c r="A46" s="16" t="s">
        <v>70</v>
      </c>
    </row>
    <row r="47" spans="1:11" x14ac:dyDescent="0.25">
      <c r="A47" s="16" t="s">
        <v>71</v>
      </c>
    </row>
    <row r="48" spans="1:11" x14ac:dyDescent="0.25">
      <c r="A48" s="16" t="s">
        <v>72</v>
      </c>
    </row>
    <row r="49" spans="1:1" x14ac:dyDescent="0.25">
      <c r="A49" s="33" t="s">
        <v>73</v>
      </c>
    </row>
  </sheetData>
  <conditionalFormatting sqref="K40:K43">
    <cfRule type="containsText" dxfId="0" priority="1" operator="containsText" text="Not met">
      <formula>NOT(ISERROR(SEARCH("Not met",K40)))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Per-Request Data</vt:lpstr>
      <vt:lpstr>Summary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Ataur Rahman (2319106)</cp:lastModifiedBy>
  <dcterms:created xsi:type="dcterms:W3CDTF">2026-08-09T20:16:44Z</dcterms:created>
  <dcterms:modified xsi:type="dcterms:W3CDTF">2026-08-10T00:38:46Z</dcterms:modified>
</cp:coreProperties>
</file>